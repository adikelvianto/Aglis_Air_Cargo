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1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tbdsti-my.sharepoint.com/personal/13618035_office_itb_ac_id/Documents/JURUSAN/Perancangan Sistem Aviasi (Group 1)/Final Excel/"/>
    </mc:Choice>
  </mc:AlternateContent>
  <xr:revisionPtr revIDLastSave="0" documentId="8_{4D0E697A-1870-4880-9406-1DE9BF81A5C5}" xr6:coauthVersionLast="47" xr6:coauthVersionMax="47" xr10:uidLastSave="{00000000-0000-0000-0000-000000000000}"/>
  <bookViews>
    <workbookView xWindow="-110" yWindow="-110" windowWidth="19420" windowHeight="10560" firstSheet="3" activeTab="3" xr2:uid="{FC90D937-FE80-415C-B2E5-5C9377DEABE8}"/>
  </bookViews>
  <sheets>
    <sheet name="Cover Page" sheetId="2" r:id="rId1"/>
    <sheet name="Aglis Market Share" sheetId="1" r:id="rId2"/>
    <sheet name="Total Tonnage" sheetId="5" r:id="rId3"/>
    <sheet name="Aglis Total Tonnage" sheetId="7" r:id="rId4"/>
    <sheet name="Aglis Load Factor" sheetId="8" r:id="rId5"/>
    <sheet name="BEP" sheetId="9" r:id="rId6"/>
    <sheet name="Graph" sheetId="10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_IntlFixup" hidden="1">TRUE</definedName>
    <definedName name="_xlnm._FilterDatabase" localSheetId="6" hidden="1">#REF!</definedName>
    <definedName name="_xlnm._FilterDatabase" hidden="1">#REF!</definedName>
    <definedName name="_Order1" hidden="1">255</definedName>
    <definedName name="_Order2" hidden="1">255</definedName>
    <definedName name="alldata">[1]dataOL!$A$5:$Z$2191</definedName>
    <definedName name="ATKCargoOps" localSheetId="6">#REF!</definedName>
    <definedName name="ATKCargoOps">#REF!</definedName>
    <definedName name="ATKCOps">[1]output!$FO$6:$GF$900</definedName>
    <definedName name="ATKCOps_persvc_perac">[1]per_ac_svc!$EY$249:$FP$496</definedName>
    <definedName name="bh_perac_persvc">[1]per_ac_svc!$AA$251:$AQ$496</definedName>
    <definedName name="BlockHour">[1]output!$AA$6:$AR$1007</definedName>
    <definedName name="cal">[1]convert!$BW$4:$EE$16</definedName>
    <definedName name="Cities">[1]other!$AJ$2:$AM$86</definedName>
    <definedName name="contractInfo">[2]Summary!#REF!</definedName>
    <definedName name="_xlnm.Database" hidden="1">[3]!tblSalaries[#All]</definedName>
    <definedName name="dayoff">[1]convert!$EM$4:$ET$11</definedName>
    <definedName name="DbaseLanding" localSheetId="6">#REF!</definedName>
    <definedName name="DbaseLanding">#REF!</definedName>
    <definedName name="enginesPerAC">'[4]PA assumptions'!$B$5:$C$13</definedName>
    <definedName name="fh_perac_persvc">[1]per_ac_svc!$EG$248:$EW$496</definedName>
    <definedName name="FilterDatabase2" localSheetId="6" hidden="1">#REF!</definedName>
    <definedName name="FilterDatabase2" hidden="1">#REF!</definedName>
    <definedName name="FlightHour">[1]output!$EW$6:$FN$1048576</definedName>
    <definedName name="freq_perac_persvc">[1]per_ac_svc!$I$251:$Y$496</definedName>
    <definedName name="Frequency">[1]output!$H$6:$Z$1007</definedName>
    <definedName name="HTML_Name" hidden="1">"Chepy"</definedName>
    <definedName name="HTML_OBDlg2" hidden="1">TRUE</definedName>
    <definedName name="HTML_OBDlg4" hidden="1">TRUE</definedName>
    <definedName name="HTML_OS" hidden="1">0</definedName>
    <definedName name="HTML_PathFile" hidden="1">"\\Adm-umum\sys\HOME\HOME-DTH\DTH-2\ASEP\MyHTML.htm"</definedName>
    <definedName name="HTML_Title" hidden="1">"SPECJAB"</definedName>
    <definedName name="Kilometers_Flown">[1]output!$CC$6:$CT$1007</definedName>
    <definedName name="kmsflown_perac_persvc">[1]per_ac_svc!$CC$251:$CS$496</definedName>
    <definedName name="NameofAC">[1]other!$B$5:$J$33</definedName>
    <definedName name="nameofservice">[1]other!$AE$5:$AF$16</definedName>
    <definedName name="No_of_Landing">[1]output!$EE$6:$EV$1048576</definedName>
    <definedName name="NoMONTH" localSheetId="6">#REF!</definedName>
    <definedName name="NoMONTH">#REF!</definedName>
    <definedName name="nooflanding" localSheetId="6">#REF!</definedName>
    <definedName name="nooflanding">#REF!</definedName>
    <definedName name="nooflanding_persvc_perac">[1]per_ac_svc!$DO$251:$EE$496</definedName>
    <definedName name="NumFreq">[1]other!$AC$5</definedName>
    <definedName name="other" localSheetId="6">#REF!</definedName>
    <definedName name="other">#REF!</definedName>
    <definedName name="recMethod" localSheetId="6">[2]Summary!#REF!</definedName>
    <definedName name="recMethod">[2]Summary!#REF!</definedName>
    <definedName name="Seat_Kilometers">[1]output!$AS$6:$BJ$1007</definedName>
    <definedName name="SeatAC" localSheetId="6">#REF!</definedName>
    <definedName name="SeatAC">#REF!</definedName>
    <definedName name="SeatConfig" localSheetId="6">#REF!</definedName>
    <definedName name="SeatConfig">#REF!</definedName>
    <definedName name="seatkm_perac_persvc">[1]per_ac_svc!$AS$251:$BI$496</definedName>
    <definedName name="speelAC">[1]other!$H$6:$I$32</definedName>
    <definedName name="speelservic" localSheetId="6">#REF!</definedName>
    <definedName name="speelservic">#REF!</definedName>
    <definedName name="speelservice">[1]other!$AF$5:$AG$15</definedName>
    <definedName name="SPEELSRVICE" localSheetId="6">#REF!</definedName>
    <definedName name="SPEELSRVICE">#REF!</definedName>
    <definedName name="SummerDB">[5]Summer!$A$2:$T$1008</definedName>
    <definedName name="TKM_Cargo">[1]output!$CU$6:$DL$1007</definedName>
    <definedName name="TKM_Cargo_perac_persvc">[1]per_ac_svc!$CU$251:$DL$496</definedName>
    <definedName name="TKMCARGO" localSheetId="6">#REF!</definedName>
    <definedName name="TKMCARGO">#REF!</definedName>
    <definedName name="Ton_Kilometers">[1]output!$BK$6:$CB$1007</definedName>
    <definedName name="tonkm_perac_persvc">[1]per_ac_svc!$BK$251:$CA$496</definedName>
    <definedName name="WinterDB">[5]Winter!$A$2:$T$1000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1" l="1"/>
  <c r="O3" i="10" s="1"/>
  <c r="L21" i="1"/>
  <c r="M21" i="1"/>
  <c r="N21" i="1"/>
  <c r="N3" i="10" s="1"/>
  <c r="K21" i="1"/>
  <c r="K3" i="10" s="1"/>
  <c r="D5" i="10"/>
  <c r="C9" i="10"/>
  <c r="D4" i="10"/>
  <c r="C4" i="10"/>
  <c r="C8" i="10"/>
  <c r="C7" i="10"/>
  <c r="C6" i="10"/>
  <c r="C5" i="10"/>
  <c r="D21" i="1"/>
  <c r="E21" i="1"/>
  <c r="F21" i="1"/>
  <c r="G21" i="1"/>
  <c r="H21" i="1"/>
  <c r="I21" i="1"/>
  <c r="J21" i="1"/>
  <c r="C21" i="1"/>
  <c r="D3" i="10"/>
  <c r="E3" i="10"/>
  <c r="F3" i="10"/>
  <c r="G3" i="10"/>
  <c r="H3" i="10"/>
  <c r="I3" i="10"/>
  <c r="J3" i="10"/>
  <c r="L3" i="10"/>
  <c r="M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G3" i="10"/>
  <c r="AH3" i="10"/>
  <c r="AI3" i="10"/>
  <c r="AJ3" i="10"/>
  <c r="AK3" i="10"/>
  <c r="AL3" i="10"/>
  <c r="AM3" i="10"/>
  <c r="AN3" i="10"/>
  <c r="AO3" i="10"/>
  <c r="AP3" i="10"/>
  <c r="C3" i="10"/>
  <c r="D8" i="10" l="1"/>
  <c r="D90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AL92" i="5"/>
  <c r="AM92" i="5"/>
  <c r="AN92" i="5"/>
  <c r="AO92" i="5"/>
  <c r="AP92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D94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D96" i="5"/>
  <c r="E96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D97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AL97" i="5"/>
  <c r="AM97" i="5"/>
  <c r="AN97" i="5"/>
  <c r="AO97" i="5"/>
  <c r="AP97" i="5"/>
  <c r="D98" i="5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C95" i="5"/>
  <c r="C96" i="5"/>
  <c r="C97" i="5"/>
  <c r="C98" i="5"/>
  <c r="C91" i="5"/>
  <c r="C92" i="5"/>
  <c r="C93" i="5"/>
  <c r="C94" i="5"/>
  <c r="C90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K100" i="5"/>
  <c r="K101" i="5"/>
  <c r="K102" i="5"/>
  <c r="K99" i="5"/>
  <c r="AC7" i="1"/>
  <c r="AD7" i="1" s="1"/>
  <c r="AE7" i="1" s="1"/>
  <c r="AF7" i="1" s="1"/>
  <c r="AM9" i="1"/>
  <c r="AN9" i="1"/>
  <c r="AO9" i="1"/>
  <c r="AO17" i="1"/>
  <c r="AO18" i="1"/>
  <c r="AO19" i="1"/>
  <c r="AO20" i="1"/>
  <c r="AB7" i="1"/>
  <c r="Y7" i="1"/>
  <c r="Z7" i="1" s="1"/>
  <c r="AA7" i="1" s="1"/>
  <c r="U7" i="1"/>
  <c r="V7" i="1" s="1"/>
  <c r="W7" i="1" s="1"/>
  <c r="X7" i="1" s="1"/>
  <c r="T7" i="1"/>
  <c r="AM17" i="1"/>
  <c r="AN17" i="1" s="1"/>
  <c r="AM18" i="1"/>
  <c r="AN18" i="1" s="1"/>
  <c r="AP18" i="1" s="1"/>
  <c r="AM19" i="1"/>
  <c r="AN19" i="1" s="1"/>
  <c r="AP19" i="1" s="1"/>
  <c r="AM20" i="1"/>
  <c r="AN20" i="1" s="1"/>
  <c r="AP20" i="1" s="1"/>
  <c r="AL18" i="1"/>
  <c r="AL19" i="1"/>
  <c r="AL20" i="1"/>
  <c r="AL17" i="1"/>
  <c r="AG7" i="1" l="1"/>
  <c r="AH7" i="1" s="1"/>
  <c r="AI7" i="1" s="1"/>
  <c r="AP17" i="1"/>
  <c r="V21" i="1" l="1"/>
  <c r="R15" i="7" l="1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AA14" i="7"/>
  <c r="AB14" i="7"/>
  <c r="AC14" i="7"/>
  <c r="AD14" i="7"/>
  <c r="K15" i="7"/>
  <c r="L15" i="7"/>
  <c r="M15" i="7"/>
  <c r="N15" i="7"/>
  <c r="O15" i="7"/>
  <c r="P15" i="7"/>
  <c r="Q15" i="7"/>
  <c r="T15" i="7"/>
  <c r="U15" i="7"/>
  <c r="V15" i="7"/>
  <c r="W15" i="7"/>
  <c r="X15" i="7"/>
  <c r="AA15" i="7"/>
  <c r="AB15" i="7"/>
  <c r="AC15" i="7"/>
  <c r="AD15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Y15" i="7" l="1"/>
  <c r="K65" i="5"/>
  <c r="K66" i="5"/>
  <c r="K67" i="5"/>
  <c r="K64" i="5"/>
  <c r="AO67" i="5"/>
  <c r="AN67" i="5"/>
  <c r="AL67" i="5"/>
  <c r="AK67" i="5"/>
  <c r="AF67" i="5"/>
  <c r="AC67" i="5"/>
  <c r="Z67" i="5"/>
  <c r="Y67" i="5"/>
  <c r="T67" i="5"/>
  <c r="Q67" i="5"/>
  <c r="N67" i="5"/>
  <c r="M67" i="5"/>
  <c r="AK66" i="5"/>
  <c r="AJ66" i="5"/>
  <c r="AI66" i="5"/>
  <c r="AH66" i="5"/>
  <c r="AG66" i="5"/>
  <c r="AA66" i="5"/>
  <c r="X66" i="5"/>
  <c r="V66" i="5"/>
  <c r="O66" i="5"/>
  <c r="L66" i="5"/>
  <c r="AJ65" i="5"/>
  <c r="AI65" i="5"/>
  <c r="AH65" i="5"/>
  <c r="AG65" i="5"/>
  <c r="AF65" i="5"/>
  <c r="AC65" i="5"/>
  <c r="U65" i="5"/>
  <c r="R65" i="5"/>
  <c r="AO64" i="5"/>
  <c r="AL64" i="5"/>
  <c r="AK64" i="5"/>
  <c r="AC64" i="5"/>
  <c r="AB64" i="5"/>
  <c r="AA64" i="5"/>
  <c r="Z64" i="5"/>
  <c r="Q64" i="5"/>
  <c r="P64" i="5"/>
  <c r="O64" i="5"/>
  <c r="N64" i="5"/>
  <c r="M64" i="5"/>
  <c r="AH64" i="5"/>
  <c r="AI64" i="5"/>
  <c r="AJ64" i="5"/>
  <c r="AM64" i="5"/>
  <c r="AN64" i="5"/>
  <c r="AP64" i="5"/>
  <c r="AQ64" i="5"/>
  <c r="AR64" i="5"/>
  <c r="AK65" i="5"/>
  <c r="AL65" i="5"/>
  <c r="AM65" i="5"/>
  <c r="AN65" i="5"/>
  <c r="AQ65" i="5"/>
  <c r="AR65" i="5"/>
  <c r="AL66" i="5"/>
  <c r="AM66" i="5"/>
  <c r="AN66" i="5"/>
  <c r="AO66" i="5"/>
  <c r="AP66" i="5"/>
  <c r="AQ66" i="5"/>
  <c r="AR66" i="5"/>
  <c r="AH67" i="5"/>
  <c r="AI67" i="5"/>
  <c r="AJ67" i="5"/>
  <c r="AM67" i="5"/>
  <c r="AP67" i="5"/>
  <c r="AQ67" i="5"/>
  <c r="AR67" i="5"/>
  <c r="L64" i="5"/>
  <c r="R64" i="5"/>
  <c r="S64" i="5"/>
  <c r="T64" i="5"/>
  <c r="U64" i="5"/>
  <c r="V64" i="5"/>
  <c r="W64" i="5"/>
  <c r="X64" i="5"/>
  <c r="Y64" i="5"/>
  <c r="AD64" i="5"/>
  <c r="AE64" i="5"/>
  <c r="AF64" i="5"/>
  <c r="AG64" i="5"/>
  <c r="L65" i="5"/>
  <c r="M65" i="5"/>
  <c r="N65" i="5"/>
  <c r="O65" i="5"/>
  <c r="P65" i="5"/>
  <c r="V65" i="5"/>
  <c r="W65" i="5"/>
  <c r="X65" i="5"/>
  <c r="Y65" i="5"/>
  <c r="Z65" i="5"/>
  <c r="AA65" i="5"/>
  <c r="AB65" i="5"/>
  <c r="M66" i="5"/>
  <c r="N66" i="5"/>
  <c r="P66" i="5"/>
  <c r="Q66" i="5"/>
  <c r="R66" i="5"/>
  <c r="S66" i="5"/>
  <c r="T66" i="5"/>
  <c r="U66" i="5"/>
  <c r="W66" i="5"/>
  <c r="Y66" i="5"/>
  <c r="Z66" i="5"/>
  <c r="AB66" i="5"/>
  <c r="AC66" i="5"/>
  <c r="AD66" i="5"/>
  <c r="AE66" i="5"/>
  <c r="AF66" i="5"/>
  <c r="L67" i="5"/>
  <c r="O67" i="5"/>
  <c r="P67" i="5"/>
  <c r="R67" i="5"/>
  <c r="S67" i="5"/>
  <c r="U67" i="5"/>
  <c r="V67" i="5"/>
  <c r="W67" i="5"/>
  <c r="X67" i="5"/>
  <c r="AA67" i="5"/>
  <c r="AB67" i="5"/>
  <c r="AD67" i="5"/>
  <c r="AE67" i="5"/>
  <c r="AG67" i="5"/>
  <c r="A1" i="7"/>
  <c r="J5" i="7"/>
  <c r="D135" i="7"/>
  <c r="E135" i="7"/>
  <c r="F135" i="7"/>
  <c r="G135" i="7"/>
  <c r="H135" i="7"/>
  <c r="I135" i="7"/>
  <c r="J135" i="7"/>
  <c r="D136" i="7"/>
  <c r="E136" i="7"/>
  <c r="F136" i="7"/>
  <c r="G136" i="7"/>
  <c r="H136" i="7"/>
  <c r="I136" i="7"/>
  <c r="J136" i="7"/>
  <c r="K136" i="7"/>
  <c r="L136" i="7"/>
  <c r="M136" i="7"/>
  <c r="N136" i="7"/>
  <c r="C135" i="7"/>
  <c r="C136" i="7"/>
  <c r="G1" i="10"/>
  <c r="K1" i="10" s="1"/>
  <c r="O1" i="10" s="1"/>
  <c r="S1" i="10" s="1"/>
  <c r="W1" i="10" s="1"/>
  <c r="AA1" i="10" s="1"/>
  <c r="AE1" i="10" s="1"/>
  <c r="AI1" i="10" s="1"/>
  <c r="AM1" i="10" s="1"/>
  <c r="AU1" i="10" s="1"/>
  <c r="AY1" i="10" s="1"/>
  <c r="Z15" i="7" l="1"/>
  <c r="S15" i="7"/>
  <c r="Y14" i="7"/>
  <c r="AE65" i="5"/>
  <c r="S65" i="5"/>
  <c r="AD65" i="5"/>
  <c r="AO65" i="5"/>
  <c r="T65" i="5"/>
  <c r="Q65" i="5"/>
  <c r="AP65" i="5"/>
  <c r="Z14" i="7" l="1"/>
  <c r="V8" i="10"/>
  <c r="W8" i="10"/>
  <c r="AE8" i="10"/>
  <c r="AM8" i="10"/>
  <c r="X8" i="10"/>
  <c r="AF8" i="10"/>
  <c r="AN8" i="10"/>
  <c r="AI8" i="10"/>
  <c r="AB8" i="10"/>
  <c r="AC8" i="10"/>
  <c r="AD8" i="10"/>
  <c r="AA8" i="10"/>
  <c r="Y8" i="10"/>
  <c r="AG8" i="10"/>
  <c r="AO8" i="10"/>
  <c r="Z8" i="10"/>
  <c r="AH8" i="10"/>
  <c r="AP8" i="10"/>
  <c r="AJ8" i="10"/>
  <c r="AK8" i="10"/>
  <c r="AL8" i="10"/>
  <c r="E7" i="10"/>
  <c r="E5" i="10"/>
  <c r="E8" i="10"/>
  <c r="E4" i="10" l="1"/>
  <c r="W5" i="10"/>
  <c r="AE5" i="10"/>
  <c r="AM5" i="10"/>
  <c r="X5" i="10"/>
  <c r="AF5" i="10"/>
  <c r="AN5" i="10"/>
  <c r="AB5" i="10"/>
  <c r="AK5" i="10"/>
  <c r="AL5" i="10"/>
  <c r="Y5" i="10"/>
  <c r="AG5" i="10"/>
  <c r="AO5" i="10"/>
  <c r="Z5" i="10"/>
  <c r="AH5" i="10"/>
  <c r="AP5" i="10"/>
  <c r="AA5" i="10"/>
  <c r="AI5" i="10"/>
  <c r="AJ5" i="10"/>
  <c r="AC5" i="10"/>
  <c r="AD5" i="10"/>
  <c r="W7" i="10"/>
  <c r="AE7" i="10"/>
  <c r="AM7" i="10"/>
  <c r="X7" i="10"/>
  <c r="AF7" i="10"/>
  <c r="AN7" i="10"/>
  <c r="AI7" i="10"/>
  <c r="AJ7" i="10"/>
  <c r="AK7" i="10"/>
  <c r="AL7" i="10"/>
  <c r="Y7" i="10"/>
  <c r="AG7" i="10"/>
  <c r="AO7" i="10"/>
  <c r="Z7" i="10"/>
  <c r="AH7" i="10"/>
  <c r="AP7" i="10"/>
  <c r="AA7" i="10"/>
  <c r="AB7" i="10"/>
  <c r="AC7" i="10"/>
  <c r="AD7" i="10"/>
  <c r="W4" i="10"/>
  <c r="AE4" i="10"/>
  <c r="AM4" i="10"/>
  <c r="V4" i="10"/>
  <c r="X4" i="10"/>
  <c r="AF4" i="10"/>
  <c r="AN4" i="10"/>
  <c r="AJ4" i="10"/>
  <c r="AK4" i="10"/>
  <c r="AK9" i="10" s="1"/>
  <c r="AL4" i="10"/>
  <c r="Y4" i="10"/>
  <c r="AG4" i="10"/>
  <c r="AO4" i="10"/>
  <c r="Z4" i="10"/>
  <c r="AH4" i="10"/>
  <c r="AP4" i="10"/>
  <c r="AA4" i="10"/>
  <c r="AA9" i="10" s="1"/>
  <c r="AI4" i="10"/>
  <c r="AB4" i="10"/>
  <c r="AC4" i="10"/>
  <c r="AD4" i="10"/>
  <c r="W6" i="10"/>
  <c r="AE6" i="10"/>
  <c r="AM6" i="10"/>
  <c r="X6" i="10"/>
  <c r="AF6" i="10"/>
  <c r="AN6" i="10"/>
  <c r="AC6" i="10"/>
  <c r="AD6" i="10"/>
  <c r="AJ6" i="10"/>
  <c r="Y6" i="10"/>
  <c r="AG6" i="10"/>
  <c r="AO6" i="10"/>
  <c r="Z6" i="10"/>
  <c r="AH6" i="10"/>
  <c r="AP6" i="10"/>
  <c r="AA6" i="10"/>
  <c r="AI6" i="10"/>
  <c r="AB6" i="10"/>
  <c r="AK6" i="10"/>
  <c r="AL6" i="10"/>
  <c r="D6" i="10"/>
  <c r="V6" i="10"/>
  <c r="F8" i="10"/>
  <c r="F6" i="10"/>
  <c r="F4" i="10"/>
  <c r="F7" i="10"/>
  <c r="F5" i="10"/>
  <c r="E6" i="10"/>
  <c r="V7" i="10"/>
  <c r="D7" i="10"/>
  <c r="V5" i="10"/>
  <c r="AP9" i="10" l="1"/>
  <c r="D9" i="10"/>
  <c r="AH9" i="10"/>
  <c r="AN9" i="10"/>
  <c r="AJ9" i="10"/>
  <c r="Z9" i="10"/>
  <c r="AD9" i="10"/>
  <c r="W9" i="10"/>
  <c r="F9" i="10"/>
  <c r="AF9" i="10"/>
  <c r="AO9" i="10"/>
  <c r="X9" i="10"/>
  <c r="AC9" i="10"/>
  <c r="AG9" i="10"/>
  <c r="V9" i="10"/>
  <c r="Y9" i="10"/>
  <c r="AM9" i="10"/>
  <c r="E9" i="10"/>
  <c r="AB9" i="10"/>
  <c r="AI9" i="10"/>
  <c r="AL9" i="10"/>
  <c r="AE9" i="10"/>
  <c r="G7" i="10"/>
  <c r="G5" i="10"/>
  <c r="G8" i="10"/>
  <c r="G4" i="10"/>
  <c r="G6" i="10"/>
  <c r="G9" i="10" l="1"/>
  <c r="H7" i="10"/>
  <c r="H5" i="10"/>
  <c r="H6" i="10"/>
  <c r="H8" i="10"/>
  <c r="H4" i="10"/>
  <c r="H9" i="10" l="1"/>
  <c r="I7" i="10"/>
  <c r="I5" i="10"/>
  <c r="I4" i="10"/>
  <c r="I8" i="10"/>
  <c r="I6" i="10"/>
  <c r="I9" i="10" l="1"/>
  <c r="J8" i="10"/>
  <c r="J7" i="10"/>
  <c r="J5" i="10"/>
  <c r="J6" i="10"/>
  <c r="J4" i="10"/>
  <c r="J9" i="10" l="1"/>
  <c r="K8" i="10"/>
  <c r="K6" i="10"/>
  <c r="K4" i="10"/>
  <c r="K7" i="10"/>
  <c r="K5" i="10"/>
  <c r="K9" i="10" l="1"/>
  <c r="L8" i="10"/>
  <c r="L6" i="10"/>
  <c r="L4" i="10"/>
  <c r="L7" i="10"/>
  <c r="L5" i="10"/>
  <c r="L9" i="10" l="1"/>
  <c r="M6" i="10"/>
  <c r="M4" i="10"/>
  <c r="M7" i="10"/>
  <c r="M8" i="10"/>
  <c r="M5" i="10"/>
  <c r="M9" i="10" l="1"/>
  <c r="N8" i="10"/>
  <c r="N6" i="10"/>
  <c r="N7" i="10"/>
  <c r="N5" i="10"/>
  <c r="N4" i="10"/>
  <c r="N9" i="10" l="1"/>
  <c r="O7" i="10"/>
  <c r="O5" i="10"/>
  <c r="O6" i="10"/>
  <c r="O8" i="10"/>
  <c r="O4" i="10"/>
  <c r="O9" i="10" l="1"/>
  <c r="P7" i="10"/>
  <c r="P5" i="10"/>
  <c r="P8" i="10"/>
  <c r="P6" i="10"/>
  <c r="P4" i="10"/>
  <c r="P9" i="10" l="1"/>
  <c r="Q7" i="10"/>
  <c r="Q5" i="10"/>
  <c r="Q6" i="10"/>
  <c r="Q8" i="10"/>
  <c r="Q4" i="10"/>
  <c r="Q9" i="10" l="1"/>
  <c r="R8" i="10"/>
  <c r="R6" i="10"/>
  <c r="R4" i="10"/>
  <c r="R7" i="10"/>
  <c r="R5" i="10"/>
  <c r="R9" i="10" l="1"/>
  <c r="S8" i="10"/>
  <c r="S6" i="10"/>
  <c r="S4" i="10"/>
  <c r="S5" i="10"/>
  <c r="S7" i="10"/>
  <c r="S9" i="10" l="1"/>
  <c r="T8" i="10"/>
  <c r="T6" i="10"/>
  <c r="T4" i="10"/>
  <c r="T7" i="10"/>
  <c r="T5" i="10"/>
  <c r="T9" i="10" l="1"/>
  <c r="U6" i="10"/>
  <c r="U4" i="10"/>
  <c r="U8" i="10"/>
  <c r="U5" i="10"/>
  <c r="U7" i="10"/>
  <c r="U9" i="10" l="1"/>
  <c r="AM2" i="7"/>
  <c r="D94" i="1" l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C95" i="1"/>
  <c r="C96" i="1"/>
  <c r="C97" i="1"/>
  <c r="C94" i="1"/>
  <c r="AQ94" i="1"/>
  <c r="AR94" i="1"/>
  <c r="AQ95" i="1"/>
  <c r="AR95" i="1"/>
  <c r="AQ96" i="1"/>
  <c r="AR96" i="1"/>
  <c r="AQ97" i="1"/>
  <c r="AR97" i="1"/>
  <c r="AC63" i="1"/>
  <c r="AC64" i="1"/>
  <c r="AC65" i="1"/>
  <c r="AC62" i="1"/>
  <c r="M62" i="1"/>
  <c r="N62" i="1"/>
  <c r="M63" i="1"/>
  <c r="N63" i="1"/>
  <c r="M64" i="1"/>
  <c r="N64" i="1" s="1"/>
  <c r="M65" i="1"/>
  <c r="N65" i="1" s="1"/>
  <c r="L63" i="1"/>
  <c r="L64" i="1"/>
  <c r="L65" i="1"/>
  <c r="L62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L12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L136" i="1"/>
  <c r="P131" i="1"/>
  <c r="J46" i="5" l="1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45" i="5"/>
  <c r="X131" i="1"/>
  <c r="AJ131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O133" i="1"/>
  <c r="O134" i="1"/>
  <c r="F122" i="1"/>
  <c r="Y132" i="1" s="1"/>
  <c r="F123" i="1"/>
  <c r="F124" i="1"/>
  <c r="F121" i="1"/>
  <c r="Y131" i="1" s="1"/>
  <c r="AM128" i="1"/>
  <c r="AN128" i="1"/>
  <c r="AO128" i="1"/>
  <c r="AP128" i="1"/>
  <c r="L129" i="1"/>
  <c r="M129" i="1"/>
  <c r="O129" i="1"/>
  <c r="P129" i="1"/>
  <c r="R129" i="1"/>
  <c r="U129" i="1"/>
  <c r="V129" i="1"/>
  <c r="W129" i="1"/>
  <c r="X129" i="1"/>
  <c r="Y129" i="1"/>
  <c r="AA129" i="1"/>
  <c r="AB129" i="1"/>
  <c r="AD129" i="1"/>
  <c r="AF129" i="1"/>
  <c r="AG129" i="1"/>
  <c r="AH129" i="1"/>
  <c r="AI129" i="1"/>
  <c r="AJ129" i="1"/>
  <c r="AK129" i="1"/>
  <c r="AM129" i="1"/>
  <c r="AN129" i="1"/>
  <c r="AO129" i="1"/>
  <c r="AP129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K128" i="1"/>
  <c r="K129" i="1"/>
  <c r="K130" i="1"/>
  <c r="F118" i="1"/>
  <c r="F119" i="1"/>
  <c r="N129" i="1" s="1"/>
  <c r="F120" i="1"/>
  <c r="F117" i="1"/>
  <c r="AH132" i="1" l="1"/>
  <c r="K127" i="1"/>
  <c r="T129" i="1"/>
  <c r="AE129" i="1"/>
  <c r="S129" i="1"/>
  <c r="AC129" i="1"/>
  <c r="Q129" i="1"/>
  <c r="AL129" i="1"/>
  <c r="Z129" i="1"/>
  <c r="AJ132" i="1"/>
  <c r="AI132" i="1"/>
  <c r="W132" i="1"/>
  <c r="X132" i="1"/>
  <c r="V132" i="1"/>
  <c r="AG132" i="1"/>
  <c r="U132" i="1"/>
  <c r="AF132" i="1"/>
  <c r="T132" i="1"/>
  <c r="AE132" i="1"/>
  <c r="AP132" i="1"/>
  <c r="AD132" i="1"/>
  <c r="R132" i="1"/>
  <c r="S132" i="1"/>
  <c r="AO132" i="1"/>
  <c r="AC132" i="1"/>
  <c r="Q132" i="1"/>
  <c r="AN132" i="1"/>
  <c r="AB132" i="1"/>
  <c r="P132" i="1"/>
  <c r="AM132" i="1"/>
  <c r="AA132" i="1"/>
  <c r="AL132" i="1"/>
  <c r="Z132" i="1"/>
  <c r="O132" i="1"/>
  <c r="AK132" i="1"/>
  <c r="AH131" i="1"/>
  <c r="V131" i="1"/>
  <c r="U131" i="1"/>
  <c r="O131" i="1"/>
  <c r="AE131" i="1"/>
  <c r="S131" i="1"/>
  <c r="AF131" i="1"/>
  <c r="AP131" i="1"/>
  <c r="AD131" i="1"/>
  <c r="R131" i="1"/>
  <c r="T131" i="1"/>
  <c r="AO131" i="1"/>
  <c r="AC131" i="1"/>
  <c r="Q131" i="1"/>
  <c r="AN131" i="1"/>
  <c r="AB131" i="1"/>
  <c r="AI131" i="1"/>
  <c r="AM131" i="1"/>
  <c r="AA131" i="1"/>
  <c r="AL131" i="1"/>
  <c r="Z131" i="1"/>
  <c r="W131" i="1"/>
  <c r="AG131" i="1"/>
  <c r="AK131" i="1"/>
  <c r="W21" i="1" l="1"/>
  <c r="X21" i="1"/>
  <c r="P21" i="1"/>
  <c r="Q21" i="1"/>
  <c r="R21" i="1"/>
  <c r="S21" i="1"/>
  <c r="T21" i="1"/>
  <c r="U21" i="1"/>
  <c r="AB86" i="1"/>
  <c r="AC66" i="1"/>
  <c r="AD66" i="1"/>
  <c r="AE66" i="1"/>
  <c r="AE87" i="1" s="1"/>
  <c r="AC67" i="1"/>
  <c r="AD67" i="1" s="1"/>
  <c r="AC68" i="1"/>
  <c r="AC89" i="1" s="1"/>
  <c r="AC69" i="1"/>
  <c r="AD69" i="1"/>
  <c r="AE69" i="1"/>
  <c r="AF69" i="1"/>
  <c r="AG69" i="1" s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L87" i="1"/>
  <c r="AM87" i="1"/>
  <c r="AN87" i="1"/>
  <c r="AO87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L88" i="1"/>
  <c r="AM88" i="1"/>
  <c r="AN88" i="1"/>
  <c r="AO88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L89" i="1"/>
  <c r="AM89" i="1"/>
  <c r="AN89" i="1"/>
  <c r="AO89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L90" i="1"/>
  <c r="AM90" i="1"/>
  <c r="AN90" i="1"/>
  <c r="AO90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I83" i="1"/>
  <c r="AJ83" i="1"/>
  <c r="AK83" i="1"/>
  <c r="AL83" i="1"/>
  <c r="AM83" i="1"/>
  <c r="AN83" i="1"/>
  <c r="AO83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I84" i="1"/>
  <c r="AJ84" i="1"/>
  <c r="AK84" i="1"/>
  <c r="AL84" i="1"/>
  <c r="AM84" i="1"/>
  <c r="AN84" i="1"/>
  <c r="AO84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I85" i="1"/>
  <c r="AJ85" i="1"/>
  <c r="AK85" i="1"/>
  <c r="AL85" i="1"/>
  <c r="AM85" i="1"/>
  <c r="AN85" i="1"/>
  <c r="AO85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I86" i="1"/>
  <c r="AJ86" i="1"/>
  <c r="AK86" i="1"/>
  <c r="AL86" i="1"/>
  <c r="AM86" i="1"/>
  <c r="AN86" i="1"/>
  <c r="AO86" i="1"/>
  <c r="K83" i="1"/>
  <c r="K84" i="1"/>
  <c r="K85" i="1"/>
  <c r="K86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D82" i="1"/>
  <c r="E82" i="1"/>
  <c r="F82" i="1"/>
  <c r="G82" i="1"/>
  <c r="H82" i="1"/>
  <c r="I82" i="1"/>
  <c r="J82" i="1"/>
  <c r="K82" i="1"/>
  <c r="C75" i="1"/>
  <c r="C76" i="1"/>
  <c r="C77" i="1"/>
  <c r="C78" i="1"/>
  <c r="C79" i="1"/>
  <c r="C80" i="1"/>
  <c r="C81" i="1"/>
  <c r="C82" i="1"/>
  <c r="C74" i="1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45" i="5"/>
  <c r="AD62" i="1" l="1"/>
  <c r="AC86" i="1"/>
  <c r="AD63" i="1"/>
  <c r="Y21" i="1"/>
  <c r="AD64" i="1"/>
  <c r="AC85" i="1"/>
  <c r="AH69" i="1"/>
  <c r="AG90" i="1"/>
  <c r="AE62" i="1"/>
  <c r="AD83" i="1"/>
  <c r="AE67" i="1"/>
  <c r="AD88" i="1"/>
  <c r="AD68" i="1"/>
  <c r="AD65" i="1"/>
  <c r="AC83" i="1"/>
  <c r="AF66" i="1"/>
  <c r="AC88" i="1"/>
  <c r="AC21" i="1" l="1"/>
  <c r="AD84" i="1"/>
  <c r="AE63" i="1"/>
  <c r="Z21" i="1"/>
  <c r="AE65" i="1"/>
  <c r="AD86" i="1"/>
  <c r="AE68" i="1"/>
  <c r="AD89" i="1"/>
  <c r="AF67" i="1"/>
  <c r="AE88" i="1"/>
  <c r="AF62" i="1"/>
  <c r="AE83" i="1"/>
  <c r="AH90" i="1"/>
  <c r="AI69" i="1"/>
  <c r="AF87" i="1"/>
  <c r="AG66" i="1"/>
  <c r="AE64" i="1"/>
  <c r="AD85" i="1"/>
  <c r="AD21" i="1" l="1"/>
  <c r="AE84" i="1"/>
  <c r="AF63" i="1"/>
  <c r="AA21" i="1"/>
  <c r="AB21" i="1"/>
  <c r="AJ69" i="1"/>
  <c r="AI90" i="1"/>
  <c r="AF68" i="1"/>
  <c r="AE89" i="1"/>
  <c r="AG62" i="1"/>
  <c r="AF83" i="1"/>
  <c r="AE85" i="1"/>
  <c r="AF64" i="1"/>
  <c r="AF65" i="1"/>
  <c r="AE86" i="1"/>
  <c r="AG67" i="1"/>
  <c r="AF88" i="1"/>
  <c r="AG87" i="1"/>
  <c r="AH66" i="1"/>
  <c r="AG63" i="1" l="1"/>
  <c r="AF84" i="1"/>
  <c r="AE21" i="1"/>
  <c r="AG88" i="1"/>
  <c r="AH67" i="1"/>
  <c r="AF85" i="1"/>
  <c r="AG64" i="1"/>
  <c r="AG68" i="1"/>
  <c r="AF89" i="1"/>
  <c r="AG65" i="1"/>
  <c r="AF86" i="1"/>
  <c r="AH62" i="1"/>
  <c r="AH83" i="1" s="1"/>
  <c r="AG83" i="1"/>
  <c r="AH87" i="1"/>
  <c r="AI66" i="1"/>
  <c r="AJ90" i="1"/>
  <c r="AK69" i="1"/>
  <c r="AK90" i="1" s="1"/>
  <c r="AF21" i="1" l="1"/>
  <c r="AG84" i="1"/>
  <c r="AH63" i="1"/>
  <c r="AH84" i="1" s="1"/>
  <c r="AH65" i="1"/>
  <c r="AH86" i="1" s="1"/>
  <c r="AG86" i="1"/>
  <c r="AH64" i="1"/>
  <c r="AH85" i="1" s="1"/>
  <c r="AG85" i="1"/>
  <c r="AI87" i="1"/>
  <c r="AJ66" i="1"/>
  <c r="AH68" i="1"/>
  <c r="AG89" i="1"/>
  <c r="AI67" i="1"/>
  <c r="AH88" i="1"/>
  <c r="AG21" i="1" l="1"/>
  <c r="AJ67" i="1"/>
  <c r="AI88" i="1"/>
  <c r="AI68" i="1"/>
  <c r="AH89" i="1"/>
  <c r="AK66" i="1"/>
  <c r="AK87" i="1" s="1"/>
  <c r="AJ87" i="1"/>
  <c r="AH21" i="1" l="1"/>
  <c r="AJ68" i="1"/>
  <c r="AI89" i="1"/>
  <c r="AJ88" i="1"/>
  <c r="AK67" i="1"/>
  <c r="AK88" i="1" s="1"/>
  <c r="AI21" i="1" l="1"/>
  <c r="AK68" i="1"/>
  <c r="AK89" i="1" s="1"/>
  <c r="AJ89" i="1"/>
  <c r="AJ21" i="1" l="1"/>
  <c r="AK21" i="1" l="1"/>
  <c r="AL21" i="1" l="1"/>
  <c r="AM21" i="1" l="1"/>
  <c r="AN21" i="1" l="1"/>
  <c r="AO21" i="1" l="1"/>
  <c r="AP21" i="1"/>
  <c r="AY5" i="9"/>
  <c r="AY6" i="9"/>
  <c r="AY7" i="9"/>
  <c r="AY8" i="9"/>
  <c r="AY9" i="9"/>
  <c r="AY10" i="9"/>
  <c r="AY11" i="9"/>
  <c r="AY12" i="9"/>
  <c r="AY4" i="9"/>
  <c r="DO20" i="9"/>
  <c r="DP20" i="9" s="1"/>
  <c r="DQ20" i="9" s="1"/>
  <c r="DR20" i="9" s="1"/>
  <c r="DS20" i="9" s="1"/>
  <c r="DT20" i="9" s="1"/>
  <c r="DU20" i="9" s="1"/>
  <c r="DV20" i="9" s="1"/>
  <c r="DW20" i="9" s="1"/>
  <c r="DX20" i="9" s="1"/>
  <c r="DY20" i="9" s="1"/>
  <c r="DZ20" i="9" s="1"/>
  <c r="EA20" i="9" s="1"/>
  <c r="EB20" i="9" s="1"/>
  <c r="EC20" i="9" s="1"/>
  <c r="ED20" i="9" s="1"/>
  <c r="EE20" i="9" s="1"/>
  <c r="EF20" i="9" s="1"/>
  <c r="EG20" i="9" s="1"/>
  <c r="EH20" i="9" s="1"/>
  <c r="DO19" i="9"/>
  <c r="DP19" i="9" s="1"/>
  <c r="DQ19" i="9" s="1"/>
  <c r="DR19" i="9" s="1"/>
  <c r="DS19" i="9" s="1"/>
  <c r="DT19" i="9" s="1"/>
  <c r="DU19" i="9" s="1"/>
  <c r="DV19" i="9" s="1"/>
  <c r="DW19" i="9" s="1"/>
  <c r="DX19" i="9" s="1"/>
  <c r="DY19" i="9" s="1"/>
  <c r="DZ19" i="9" s="1"/>
  <c r="EA19" i="9" s="1"/>
  <c r="EB19" i="9" s="1"/>
  <c r="EC19" i="9" s="1"/>
  <c r="ED19" i="9" s="1"/>
  <c r="EE19" i="9" s="1"/>
  <c r="EF19" i="9" s="1"/>
  <c r="EG19" i="9" s="1"/>
  <c r="EH19" i="9" s="1"/>
  <c r="DO18" i="9"/>
  <c r="DP18" i="9" s="1"/>
  <c r="DQ18" i="9" s="1"/>
  <c r="DR18" i="9" s="1"/>
  <c r="DS18" i="9" s="1"/>
  <c r="DT18" i="9" s="1"/>
  <c r="DU18" i="9" s="1"/>
  <c r="DV18" i="9" s="1"/>
  <c r="DW18" i="9" s="1"/>
  <c r="DX18" i="9" s="1"/>
  <c r="DY18" i="9" s="1"/>
  <c r="DZ18" i="9" s="1"/>
  <c r="EA18" i="9" s="1"/>
  <c r="EB18" i="9" s="1"/>
  <c r="EC18" i="9" s="1"/>
  <c r="ED18" i="9" s="1"/>
  <c r="EE18" i="9" s="1"/>
  <c r="EF18" i="9" s="1"/>
  <c r="EG18" i="9" s="1"/>
  <c r="EH18" i="9" s="1"/>
  <c r="DO17" i="9"/>
  <c r="DP17" i="9" s="1"/>
  <c r="DQ17" i="9" s="1"/>
  <c r="DR17" i="9" s="1"/>
  <c r="DS17" i="9" s="1"/>
  <c r="DT17" i="9" s="1"/>
  <c r="DU17" i="9" s="1"/>
  <c r="DV17" i="9" s="1"/>
  <c r="DW17" i="9" s="1"/>
  <c r="DX17" i="9" s="1"/>
  <c r="DY17" i="9" s="1"/>
  <c r="DZ17" i="9" s="1"/>
  <c r="EA17" i="9" s="1"/>
  <c r="EB17" i="9" s="1"/>
  <c r="EC17" i="9" s="1"/>
  <c r="ED17" i="9" s="1"/>
  <c r="EE17" i="9" s="1"/>
  <c r="EF17" i="9" s="1"/>
  <c r="EG17" i="9" s="1"/>
  <c r="EH17" i="9" s="1"/>
  <c r="DO16" i="9"/>
  <c r="DP16" i="9" s="1"/>
  <c r="DQ16" i="9" s="1"/>
  <c r="DR16" i="9" s="1"/>
  <c r="DS16" i="9" s="1"/>
  <c r="DT16" i="9" s="1"/>
  <c r="DU16" i="9" s="1"/>
  <c r="DV16" i="9" s="1"/>
  <c r="DW16" i="9" s="1"/>
  <c r="DX16" i="9" s="1"/>
  <c r="DY16" i="9" s="1"/>
  <c r="DZ16" i="9" s="1"/>
  <c r="EA16" i="9" s="1"/>
  <c r="EB16" i="9" s="1"/>
  <c r="EC16" i="9" s="1"/>
  <c r="ED16" i="9" s="1"/>
  <c r="EE16" i="9" s="1"/>
  <c r="EF16" i="9" s="1"/>
  <c r="EG16" i="9" s="1"/>
  <c r="EH16" i="9" s="1"/>
  <c r="DO15" i="9"/>
  <c r="DP15" i="9" s="1"/>
  <c r="DQ15" i="9" s="1"/>
  <c r="DR15" i="9" s="1"/>
  <c r="DS15" i="9" s="1"/>
  <c r="DT15" i="9" s="1"/>
  <c r="DU15" i="9" s="1"/>
  <c r="DV15" i="9" s="1"/>
  <c r="DW15" i="9" s="1"/>
  <c r="DX15" i="9" s="1"/>
  <c r="DY15" i="9" s="1"/>
  <c r="DZ15" i="9" s="1"/>
  <c r="EA15" i="9" s="1"/>
  <c r="EB15" i="9" s="1"/>
  <c r="EC15" i="9" s="1"/>
  <c r="ED15" i="9" s="1"/>
  <c r="EE15" i="9" s="1"/>
  <c r="EF15" i="9" s="1"/>
  <c r="EG15" i="9" s="1"/>
  <c r="EH15" i="9" s="1"/>
  <c r="DO14" i="9"/>
  <c r="DP14" i="9" s="1"/>
  <c r="DQ14" i="9" s="1"/>
  <c r="DR14" i="9" s="1"/>
  <c r="DS14" i="9" s="1"/>
  <c r="DT14" i="9" s="1"/>
  <c r="DU14" i="9" s="1"/>
  <c r="DV14" i="9" s="1"/>
  <c r="DW14" i="9" s="1"/>
  <c r="DX14" i="9" s="1"/>
  <c r="DY14" i="9" s="1"/>
  <c r="DZ14" i="9" s="1"/>
  <c r="EA14" i="9" s="1"/>
  <c r="EB14" i="9" s="1"/>
  <c r="EC14" i="9" s="1"/>
  <c r="ED14" i="9" s="1"/>
  <c r="EE14" i="9" s="1"/>
  <c r="EF14" i="9" s="1"/>
  <c r="EG14" i="9" s="1"/>
  <c r="EH14" i="9" s="1"/>
  <c r="DO13" i="9"/>
  <c r="DP13" i="9" s="1"/>
  <c r="DQ13" i="9" s="1"/>
  <c r="DR13" i="9" s="1"/>
  <c r="DS13" i="9" s="1"/>
  <c r="DT13" i="9" s="1"/>
  <c r="DU13" i="9" s="1"/>
  <c r="DV13" i="9" s="1"/>
  <c r="DW13" i="9" s="1"/>
  <c r="DX13" i="9" s="1"/>
  <c r="DY13" i="9" s="1"/>
  <c r="DZ13" i="9" s="1"/>
  <c r="EA13" i="9" s="1"/>
  <c r="EB13" i="9" s="1"/>
  <c r="EC13" i="9" s="1"/>
  <c r="ED13" i="9" s="1"/>
  <c r="EE13" i="9" s="1"/>
  <c r="EF13" i="9" s="1"/>
  <c r="EG13" i="9" s="1"/>
  <c r="EH13" i="9" s="1"/>
  <c r="DO12" i="9"/>
  <c r="DP12" i="9" s="1"/>
  <c r="DQ12" i="9" s="1"/>
  <c r="DR12" i="9" s="1"/>
  <c r="DS12" i="9" s="1"/>
  <c r="DT12" i="9" s="1"/>
  <c r="DU12" i="9" s="1"/>
  <c r="DV12" i="9" s="1"/>
  <c r="DW12" i="9" s="1"/>
  <c r="DX12" i="9" s="1"/>
  <c r="DY12" i="9" s="1"/>
  <c r="DZ12" i="9" s="1"/>
  <c r="EA12" i="9" s="1"/>
  <c r="EB12" i="9" s="1"/>
  <c r="EC12" i="9" s="1"/>
  <c r="ED12" i="9" s="1"/>
  <c r="EE12" i="9" s="1"/>
  <c r="EF12" i="9" s="1"/>
  <c r="EG12" i="9" s="1"/>
  <c r="EH12" i="9" s="1"/>
  <c r="DO11" i="9"/>
  <c r="DP11" i="9" s="1"/>
  <c r="DQ11" i="9" s="1"/>
  <c r="DR11" i="9" s="1"/>
  <c r="DS11" i="9" s="1"/>
  <c r="DT11" i="9" s="1"/>
  <c r="DU11" i="9" s="1"/>
  <c r="DV11" i="9" s="1"/>
  <c r="DW11" i="9" s="1"/>
  <c r="DX11" i="9" s="1"/>
  <c r="DY11" i="9" s="1"/>
  <c r="DZ11" i="9" s="1"/>
  <c r="EA11" i="9" s="1"/>
  <c r="EB11" i="9" s="1"/>
  <c r="EC11" i="9" s="1"/>
  <c r="ED11" i="9" s="1"/>
  <c r="EE11" i="9" s="1"/>
  <c r="EF11" i="9" s="1"/>
  <c r="EG11" i="9" s="1"/>
  <c r="EH11" i="9" s="1"/>
  <c r="DO10" i="9"/>
  <c r="DP10" i="9" s="1"/>
  <c r="DQ10" i="9" s="1"/>
  <c r="DR10" i="9" s="1"/>
  <c r="DS10" i="9" s="1"/>
  <c r="DT10" i="9" s="1"/>
  <c r="DU10" i="9" s="1"/>
  <c r="DV10" i="9" s="1"/>
  <c r="DW10" i="9" s="1"/>
  <c r="DX10" i="9" s="1"/>
  <c r="DY10" i="9" s="1"/>
  <c r="DZ10" i="9" s="1"/>
  <c r="EA10" i="9" s="1"/>
  <c r="EB10" i="9" s="1"/>
  <c r="EC10" i="9" s="1"/>
  <c r="ED10" i="9" s="1"/>
  <c r="EE10" i="9" s="1"/>
  <c r="EF10" i="9" s="1"/>
  <c r="EG10" i="9" s="1"/>
  <c r="EH10" i="9" s="1"/>
  <c r="DO9" i="9"/>
  <c r="DP9" i="9" s="1"/>
  <c r="DQ9" i="9" s="1"/>
  <c r="DR9" i="9" s="1"/>
  <c r="DS9" i="9" s="1"/>
  <c r="DT9" i="9" s="1"/>
  <c r="DU9" i="9" s="1"/>
  <c r="DV9" i="9" s="1"/>
  <c r="DW9" i="9" s="1"/>
  <c r="DX9" i="9" s="1"/>
  <c r="DY9" i="9" s="1"/>
  <c r="DZ9" i="9" s="1"/>
  <c r="EA9" i="9" s="1"/>
  <c r="EB9" i="9" s="1"/>
  <c r="EC9" i="9" s="1"/>
  <c r="ED9" i="9" s="1"/>
  <c r="EE9" i="9" s="1"/>
  <c r="EF9" i="9" s="1"/>
  <c r="EG9" i="9" s="1"/>
  <c r="EH9" i="9" s="1"/>
  <c r="DO8" i="9"/>
  <c r="DP8" i="9" s="1"/>
  <c r="DQ8" i="9" s="1"/>
  <c r="DR8" i="9" s="1"/>
  <c r="DS8" i="9" s="1"/>
  <c r="DT8" i="9" s="1"/>
  <c r="DU8" i="9" s="1"/>
  <c r="DV8" i="9" s="1"/>
  <c r="DW8" i="9" s="1"/>
  <c r="DX8" i="9" s="1"/>
  <c r="DY8" i="9" s="1"/>
  <c r="DZ8" i="9" s="1"/>
  <c r="EA8" i="9" s="1"/>
  <c r="EB8" i="9" s="1"/>
  <c r="EC8" i="9" s="1"/>
  <c r="ED8" i="9" s="1"/>
  <c r="EE8" i="9" s="1"/>
  <c r="EF8" i="9" s="1"/>
  <c r="EG8" i="9" s="1"/>
  <c r="EH8" i="9" s="1"/>
  <c r="DO7" i="9"/>
  <c r="DP7" i="9" s="1"/>
  <c r="DQ7" i="9" s="1"/>
  <c r="DR7" i="9" s="1"/>
  <c r="DS7" i="9" s="1"/>
  <c r="DT7" i="9" s="1"/>
  <c r="DU7" i="9" s="1"/>
  <c r="DV7" i="9" s="1"/>
  <c r="DW7" i="9" s="1"/>
  <c r="DX7" i="9" s="1"/>
  <c r="DY7" i="9" s="1"/>
  <c r="DZ7" i="9" s="1"/>
  <c r="EA7" i="9" s="1"/>
  <c r="EB7" i="9" s="1"/>
  <c r="EC7" i="9" s="1"/>
  <c r="ED7" i="9" s="1"/>
  <c r="EE7" i="9" s="1"/>
  <c r="EF7" i="9" s="1"/>
  <c r="EG7" i="9" s="1"/>
  <c r="EH7" i="9" s="1"/>
  <c r="DO6" i="9"/>
  <c r="DP6" i="9" s="1"/>
  <c r="DQ6" i="9" s="1"/>
  <c r="DR6" i="9" s="1"/>
  <c r="DS6" i="9" s="1"/>
  <c r="DT6" i="9" s="1"/>
  <c r="DU6" i="9" s="1"/>
  <c r="DV6" i="9" s="1"/>
  <c r="DW6" i="9" s="1"/>
  <c r="DX6" i="9" s="1"/>
  <c r="DY6" i="9" s="1"/>
  <c r="DZ6" i="9" s="1"/>
  <c r="EA6" i="9" s="1"/>
  <c r="EB6" i="9" s="1"/>
  <c r="EC6" i="9" s="1"/>
  <c r="ED6" i="9" s="1"/>
  <c r="EE6" i="9" s="1"/>
  <c r="EF6" i="9" s="1"/>
  <c r="EG6" i="9" s="1"/>
  <c r="EH6" i="9" s="1"/>
  <c r="DO5" i="9"/>
  <c r="DP5" i="9" s="1"/>
  <c r="DQ5" i="9" s="1"/>
  <c r="DR5" i="9" s="1"/>
  <c r="DS5" i="9" s="1"/>
  <c r="DT5" i="9" s="1"/>
  <c r="DU5" i="9" s="1"/>
  <c r="DV5" i="9" s="1"/>
  <c r="DW5" i="9" s="1"/>
  <c r="DX5" i="9" s="1"/>
  <c r="DY5" i="9" s="1"/>
  <c r="DZ5" i="9" s="1"/>
  <c r="EA5" i="9" s="1"/>
  <c r="EB5" i="9" s="1"/>
  <c r="EC5" i="9" s="1"/>
  <c r="ED5" i="9" s="1"/>
  <c r="EE5" i="9" s="1"/>
  <c r="EF5" i="9" s="1"/>
  <c r="EG5" i="9" s="1"/>
  <c r="EH5" i="9" s="1"/>
  <c r="DO4" i="9"/>
  <c r="DP4" i="9" s="1"/>
  <c r="DQ4" i="9" s="1"/>
  <c r="DR4" i="9" s="1"/>
  <c r="DS4" i="9" s="1"/>
  <c r="DT4" i="9" s="1"/>
  <c r="DU4" i="9" s="1"/>
  <c r="DV4" i="9" s="1"/>
  <c r="DW4" i="9" s="1"/>
  <c r="DX4" i="9" s="1"/>
  <c r="DY4" i="9" s="1"/>
  <c r="DZ4" i="9" s="1"/>
  <c r="EA4" i="9" s="1"/>
  <c r="EB4" i="9" s="1"/>
  <c r="EC4" i="9" s="1"/>
  <c r="ED4" i="9" s="1"/>
  <c r="EE4" i="9" s="1"/>
  <c r="EF4" i="9" s="1"/>
  <c r="EG4" i="9" s="1"/>
  <c r="EH4" i="9" s="1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BR21" i="9"/>
  <c r="BS21" i="9"/>
  <c r="BT21" i="9"/>
  <c r="BU21" i="9"/>
  <c r="BV21" i="9"/>
  <c r="BW21" i="9"/>
  <c r="BX21" i="9"/>
  <c r="BY21" i="9"/>
  <c r="BZ21" i="9"/>
  <c r="CA21" i="9"/>
  <c r="CB21" i="9"/>
  <c r="CC21" i="9"/>
  <c r="CD21" i="9"/>
  <c r="CE21" i="9"/>
  <c r="CF21" i="9"/>
  <c r="CG21" i="9"/>
  <c r="CH21" i="9"/>
  <c r="CI21" i="9"/>
  <c r="CJ21" i="9"/>
  <c r="CK21" i="9"/>
  <c r="CL21" i="9"/>
  <c r="C42" i="9"/>
  <c r="P41" i="9"/>
  <c r="Q41" i="9" s="1"/>
  <c r="R41" i="9" s="1"/>
  <c r="S41" i="9" s="1"/>
  <c r="Q40" i="9"/>
  <c r="R40" i="9" s="1"/>
  <c r="S40" i="9" s="1"/>
  <c r="P40" i="9"/>
  <c r="Q39" i="9"/>
  <c r="R39" i="9" s="1"/>
  <c r="S39" i="9" s="1"/>
  <c r="P39" i="9"/>
  <c r="P38" i="9"/>
  <c r="Q38" i="9" s="1"/>
  <c r="R38" i="9" s="1"/>
  <c r="S38" i="9" s="1"/>
  <c r="M37" i="9"/>
  <c r="N37" i="9" s="1"/>
  <c r="O37" i="9" s="1"/>
  <c r="L37" i="9"/>
  <c r="M36" i="9"/>
  <c r="N36" i="9" s="1"/>
  <c r="O36" i="9" s="1"/>
  <c r="P36" i="9" s="1"/>
  <c r="Q36" i="9" s="1"/>
  <c r="R36" i="9" s="1"/>
  <c r="S36" i="9" s="1"/>
  <c r="L36" i="9"/>
  <c r="N35" i="9"/>
  <c r="O35" i="9" s="1"/>
  <c r="L35" i="9"/>
  <c r="M35" i="9" s="1"/>
  <c r="H34" i="9"/>
  <c r="I34" i="9" s="1"/>
  <c r="J34" i="9" s="1"/>
  <c r="K34" i="9" s="1"/>
  <c r="L34" i="9" s="1"/>
  <c r="M34" i="9" s="1"/>
  <c r="N34" i="9" s="1"/>
  <c r="O34" i="9" s="1"/>
  <c r="P34" i="9" s="1"/>
  <c r="Q34" i="9" s="1"/>
  <c r="H33" i="9"/>
  <c r="I33" i="9" s="1"/>
  <c r="J33" i="9" s="1"/>
  <c r="K33" i="9" s="1"/>
  <c r="L33" i="9" s="1"/>
  <c r="M33" i="9" s="1"/>
  <c r="I32" i="9"/>
  <c r="J32" i="9" s="1"/>
  <c r="K32" i="9" s="1"/>
  <c r="H32" i="9"/>
  <c r="H31" i="9"/>
  <c r="I31" i="9" s="1"/>
  <c r="J31" i="9" s="1"/>
  <c r="K31" i="9" s="1"/>
  <c r="L31" i="9" s="1"/>
  <c r="M31" i="9" s="1"/>
  <c r="N31" i="9" s="1"/>
  <c r="O31" i="9" s="1"/>
  <c r="P31" i="9" s="1"/>
  <c r="Q31" i="9" s="1"/>
  <c r="F30" i="9"/>
  <c r="G30" i="9" s="1"/>
  <c r="H30" i="9" s="1"/>
  <c r="I30" i="9" s="1"/>
  <c r="J30" i="9" s="1"/>
  <c r="K30" i="9" s="1"/>
  <c r="L30" i="9" s="1"/>
  <c r="M30" i="9" s="1"/>
  <c r="N30" i="9" s="1"/>
  <c r="D30" i="9"/>
  <c r="E30" i="9" s="1"/>
  <c r="D29" i="9"/>
  <c r="E29" i="9" s="1"/>
  <c r="F29" i="9" s="1"/>
  <c r="G29" i="9" s="1"/>
  <c r="H29" i="9" s="1"/>
  <c r="I29" i="9" s="1"/>
  <c r="J29" i="9" s="1"/>
  <c r="K29" i="9" s="1"/>
  <c r="L29" i="9" s="1"/>
  <c r="M29" i="9" s="1"/>
  <c r="G28" i="9"/>
  <c r="H28" i="9" s="1"/>
  <c r="I28" i="9" s="1"/>
  <c r="J28" i="9" s="1"/>
  <c r="K28" i="9" s="1"/>
  <c r="L28" i="9" s="1"/>
  <c r="E28" i="9"/>
  <c r="F28" i="9" s="1"/>
  <c r="D28" i="9"/>
  <c r="F27" i="9"/>
  <c r="G27" i="9" s="1"/>
  <c r="AY21" i="1"/>
  <c r="AZ21" i="1"/>
  <c r="F106" i="7"/>
  <c r="J106" i="7" s="1"/>
  <c r="N106" i="7" s="1"/>
  <c r="R106" i="7" s="1"/>
  <c r="V106" i="7" s="1"/>
  <c r="Z106" i="7" s="1"/>
  <c r="AD106" i="7" s="1"/>
  <c r="AH106" i="7" s="1"/>
  <c r="AL106" i="7" s="1"/>
  <c r="V125" i="7"/>
  <c r="W125" i="7"/>
  <c r="X125" i="7"/>
  <c r="Y125" i="7"/>
  <c r="Z125" i="7"/>
  <c r="AA125" i="7"/>
  <c r="AB125" i="7"/>
  <c r="AC125" i="7"/>
  <c r="AD125" i="7"/>
  <c r="AE125" i="7"/>
  <c r="AF125" i="7"/>
  <c r="AG125" i="7"/>
  <c r="AH125" i="7"/>
  <c r="AI125" i="7"/>
  <c r="AJ125" i="7"/>
  <c r="AK125" i="7"/>
  <c r="AL125" i="7"/>
  <c r="AM125" i="7"/>
  <c r="AN125" i="7"/>
  <c r="AO125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U125" i="7"/>
  <c r="B125" i="7"/>
  <c r="V104" i="7"/>
  <c r="W104" i="7" s="1"/>
  <c r="X104" i="7" s="1"/>
  <c r="Y104" i="7" s="1"/>
  <c r="Z104" i="7" s="1"/>
  <c r="AA104" i="7" s="1"/>
  <c r="AB104" i="7" s="1"/>
  <c r="AC104" i="7" s="1"/>
  <c r="AD104" i="7" s="1"/>
  <c r="AE104" i="7" s="1"/>
  <c r="AF104" i="7" s="1"/>
  <c r="AG104" i="7" s="1"/>
  <c r="AH104" i="7" s="1"/>
  <c r="AI104" i="7" s="1"/>
  <c r="AJ104" i="7" s="1"/>
  <c r="AK104" i="7" s="1"/>
  <c r="AL104" i="7" s="1"/>
  <c r="AM104" i="7" s="1"/>
  <c r="AN104" i="7" s="1"/>
  <c r="AO104" i="7" s="1"/>
  <c r="W103" i="7"/>
  <c r="X103" i="7" s="1"/>
  <c r="Y103" i="7" s="1"/>
  <c r="Z103" i="7" s="1"/>
  <c r="AA103" i="7" s="1"/>
  <c r="AB103" i="7" s="1"/>
  <c r="AC103" i="7" s="1"/>
  <c r="AD103" i="7" s="1"/>
  <c r="AE103" i="7" s="1"/>
  <c r="AF103" i="7" s="1"/>
  <c r="AG103" i="7" s="1"/>
  <c r="AH103" i="7" s="1"/>
  <c r="AI103" i="7" s="1"/>
  <c r="AJ103" i="7" s="1"/>
  <c r="AK103" i="7" s="1"/>
  <c r="AL103" i="7" s="1"/>
  <c r="AM103" i="7" s="1"/>
  <c r="AN103" i="7" s="1"/>
  <c r="AO103" i="7" s="1"/>
  <c r="V103" i="7"/>
  <c r="W102" i="7"/>
  <c r="X102" i="7" s="1"/>
  <c r="Y102" i="7" s="1"/>
  <c r="Z102" i="7" s="1"/>
  <c r="AA102" i="7" s="1"/>
  <c r="AB102" i="7" s="1"/>
  <c r="AC102" i="7" s="1"/>
  <c r="AD102" i="7" s="1"/>
  <c r="AE102" i="7" s="1"/>
  <c r="AF102" i="7" s="1"/>
  <c r="AG102" i="7" s="1"/>
  <c r="AH102" i="7" s="1"/>
  <c r="AI102" i="7" s="1"/>
  <c r="AJ102" i="7" s="1"/>
  <c r="AK102" i="7" s="1"/>
  <c r="AL102" i="7" s="1"/>
  <c r="AM102" i="7" s="1"/>
  <c r="AN102" i="7" s="1"/>
  <c r="AO102" i="7" s="1"/>
  <c r="V102" i="7"/>
  <c r="V101" i="7"/>
  <c r="W101" i="7" s="1"/>
  <c r="X101" i="7" s="1"/>
  <c r="Y101" i="7" s="1"/>
  <c r="Z101" i="7" s="1"/>
  <c r="AA101" i="7" s="1"/>
  <c r="AB101" i="7" s="1"/>
  <c r="AC101" i="7" s="1"/>
  <c r="AD101" i="7" s="1"/>
  <c r="AE101" i="7" s="1"/>
  <c r="AF101" i="7" s="1"/>
  <c r="AG101" i="7" s="1"/>
  <c r="AH101" i="7" s="1"/>
  <c r="AI101" i="7" s="1"/>
  <c r="AJ101" i="7" s="1"/>
  <c r="AK101" i="7" s="1"/>
  <c r="AL101" i="7" s="1"/>
  <c r="AM101" i="7" s="1"/>
  <c r="AN101" i="7" s="1"/>
  <c r="AO101" i="7" s="1"/>
  <c r="W100" i="7"/>
  <c r="X100" i="7" s="1"/>
  <c r="Y100" i="7" s="1"/>
  <c r="Z100" i="7" s="1"/>
  <c r="AA100" i="7" s="1"/>
  <c r="AB100" i="7" s="1"/>
  <c r="AC100" i="7" s="1"/>
  <c r="AD100" i="7" s="1"/>
  <c r="AE100" i="7" s="1"/>
  <c r="AF100" i="7" s="1"/>
  <c r="AG100" i="7" s="1"/>
  <c r="AH100" i="7" s="1"/>
  <c r="AI100" i="7" s="1"/>
  <c r="AJ100" i="7" s="1"/>
  <c r="AK100" i="7" s="1"/>
  <c r="AL100" i="7" s="1"/>
  <c r="AM100" i="7" s="1"/>
  <c r="AN100" i="7" s="1"/>
  <c r="AO100" i="7" s="1"/>
  <c r="V100" i="7"/>
  <c r="W99" i="7"/>
  <c r="X99" i="7" s="1"/>
  <c r="Y99" i="7" s="1"/>
  <c r="Z99" i="7" s="1"/>
  <c r="AA99" i="7" s="1"/>
  <c r="AB99" i="7" s="1"/>
  <c r="AC99" i="7" s="1"/>
  <c r="AD99" i="7" s="1"/>
  <c r="AE99" i="7" s="1"/>
  <c r="AF99" i="7" s="1"/>
  <c r="AG99" i="7" s="1"/>
  <c r="AH99" i="7" s="1"/>
  <c r="AI99" i="7" s="1"/>
  <c r="AJ99" i="7" s="1"/>
  <c r="AK99" i="7" s="1"/>
  <c r="AL99" i="7" s="1"/>
  <c r="AM99" i="7" s="1"/>
  <c r="AN99" i="7" s="1"/>
  <c r="AO99" i="7" s="1"/>
  <c r="V99" i="7"/>
  <c r="V98" i="7"/>
  <c r="W98" i="7" s="1"/>
  <c r="X98" i="7" s="1"/>
  <c r="Y98" i="7" s="1"/>
  <c r="Z98" i="7" s="1"/>
  <c r="AA98" i="7" s="1"/>
  <c r="AB98" i="7" s="1"/>
  <c r="AC98" i="7" s="1"/>
  <c r="AD98" i="7" s="1"/>
  <c r="AE98" i="7" s="1"/>
  <c r="AF98" i="7" s="1"/>
  <c r="AG98" i="7" s="1"/>
  <c r="AH98" i="7" s="1"/>
  <c r="AI98" i="7" s="1"/>
  <c r="AJ98" i="7" s="1"/>
  <c r="AK98" i="7" s="1"/>
  <c r="AL98" i="7" s="1"/>
  <c r="AM98" i="7" s="1"/>
  <c r="AN98" i="7" s="1"/>
  <c r="AO98" i="7" s="1"/>
  <c r="W97" i="7"/>
  <c r="X97" i="7" s="1"/>
  <c r="Y97" i="7" s="1"/>
  <c r="Z97" i="7" s="1"/>
  <c r="AA97" i="7" s="1"/>
  <c r="AB97" i="7" s="1"/>
  <c r="AC97" i="7" s="1"/>
  <c r="AD97" i="7" s="1"/>
  <c r="AE97" i="7" s="1"/>
  <c r="AF97" i="7" s="1"/>
  <c r="AG97" i="7" s="1"/>
  <c r="AH97" i="7" s="1"/>
  <c r="AI97" i="7" s="1"/>
  <c r="AJ97" i="7" s="1"/>
  <c r="AK97" i="7" s="1"/>
  <c r="AL97" i="7" s="1"/>
  <c r="AM97" i="7" s="1"/>
  <c r="AN97" i="7" s="1"/>
  <c r="AO97" i="7" s="1"/>
  <c r="V97" i="7"/>
  <c r="W96" i="7"/>
  <c r="X96" i="7" s="1"/>
  <c r="Y96" i="7" s="1"/>
  <c r="Z96" i="7" s="1"/>
  <c r="AA96" i="7" s="1"/>
  <c r="AB96" i="7" s="1"/>
  <c r="AC96" i="7" s="1"/>
  <c r="AD96" i="7" s="1"/>
  <c r="AE96" i="7" s="1"/>
  <c r="AF96" i="7" s="1"/>
  <c r="AG96" i="7" s="1"/>
  <c r="AH96" i="7" s="1"/>
  <c r="AI96" i="7" s="1"/>
  <c r="AJ96" i="7" s="1"/>
  <c r="AK96" i="7" s="1"/>
  <c r="AL96" i="7" s="1"/>
  <c r="AM96" i="7" s="1"/>
  <c r="AN96" i="7" s="1"/>
  <c r="AO96" i="7" s="1"/>
  <c r="V96" i="7"/>
  <c r="V95" i="7"/>
  <c r="W95" i="7" s="1"/>
  <c r="X95" i="7" s="1"/>
  <c r="Y95" i="7" s="1"/>
  <c r="Z95" i="7" s="1"/>
  <c r="AA95" i="7" s="1"/>
  <c r="AB95" i="7" s="1"/>
  <c r="AC95" i="7" s="1"/>
  <c r="AD95" i="7" s="1"/>
  <c r="AE95" i="7" s="1"/>
  <c r="AF95" i="7" s="1"/>
  <c r="AG95" i="7" s="1"/>
  <c r="AH95" i="7" s="1"/>
  <c r="AI95" i="7" s="1"/>
  <c r="AJ95" i="7" s="1"/>
  <c r="AK95" i="7" s="1"/>
  <c r="AL95" i="7" s="1"/>
  <c r="AM95" i="7" s="1"/>
  <c r="AN95" i="7" s="1"/>
  <c r="AO95" i="7" s="1"/>
  <c r="W94" i="7"/>
  <c r="X94" i="7" s="1"/>
  <c r="Y94" i="7" s="1"/>
  <c r="Z94" i="7" s="1"/>
  <c r="AA94" i="7" s="1"/>
  <c r="AB94" i="7" s="1"/>
  <c r="AC94" i="7" s="1"/>
  <c r="AD94" i="7" s="1"/>
  <c r="AE94" i="7" s="1"/>
  <c r="AF94" i="7" s="1"/>
  <c r="AG94" i="7" s="1"/>
  <c r="AH94" i="7" s="1"/>
  <c r="AI94" i="7" s="1"/>
  <c r="AJ94" i="7" s="1"/>
  <c r="AK94" i="7" s="1"/>
  <c r="AL94" i="7" s="1"/>
  <c r="AM94" i="7" s="1"/>
  <c r="AN94" i="7" s="1"/>
  <c r="AO94" i="7" s="1"/>
  <c r="V94" i="7"/>
  <c r="W93" i="7"/>
  <c r="X93" i="7" s="1"/>
  <c r="Y93" i="7" s="1"/>
  <c r="Z93" i="7" s="1"/>
  <c r="AA93" i="7" s="1"/>
  <c r="AB93" i="7" s="1"/>
  <c r="AC93" i="7" s="1"/>
  <c r="AD93" i="7" s="1"/>
  <c r="AE93" i="7" s="1"/>
  <c r="AF93" i="7" s="1"/>
  <c r="AG93" i="7" s="1"/>
  <c r="AH93" i="7" s="1"/>
  <c r="AI93" i="7" s="1"/>
  <c r="AJ93" i="7" s="1"/>
  <c r="AK93" i="7" s="1"/>
  <c r="AL93" i="7" s="1"/>
  <c r="AM93" i="7" s="1"/>
  <c r="AN93" i="7" s="1"/>
  <c r="AO93" i="7" s="1"/>
  <c r="V93" i="7"/>
  <c r="V92" i="7"/>
  <c r="W92" i="7" s="1"/>
  <c r="X92" i="7" s="1"/>
  <c r="Y92" i="7" s="1"/>
  <c r="Z92" i="7" s="1"/>
  <c r="AA92" i="7" s="1"/>
  <c r="AB92" i="7" s="1"/>
  <c r="AC92" i="7" s="1"/>
  <c r="AD92" i="7" s="1"/>
  <c r="AE92" i="7" s="1"/>
  <c r="AF92" i="7" s="1"/>
  <c r="AG92" i="7" s="1"/>
  <c r="AH92" i="7" s="1"/>
  <c r="AI92" i="7" s="1"/>
  <c r="AJ92" i="7" s="1"/>
  <c r="AK92" i="7" s="1"/>
  <c r="AL92" i="7" s="1"/>
  <c r="AM92" i="7" s="1"/>
  <c r="AN92" i="7" s="1"/>
  <c r="AO92" i="7" s="1"/>
  <c r="W91" i="7"/>
  <c r="X91" i="7" s="1"/>
  <c r="Y91" i="7" s="1"/>
  <c r="Z91" i="7" s="1"/>
  <c r="AA91" i="7" s="1"/>
  <c r="AB91" i="7" s="1"/>
  <c r="AC91" i="7" s="1"/>
  <c r="AD91" i="7" s="1"/>
  <c r="AE91" i="7" s="1"/>
  <c r="AF91" i="7" s="1"/>
  <c r="AG91" i="7" s="1"/>
  <c r="AH91" i="7" s="1"/>
  <c r="AI91" i="7" s="1"/>
  <c r="AJ91" i="7" s="1"/>
  <c r="AK91" i="7" s="1"/>
  <c r="AL91" i="7" s="1"/>
  <c r="AM91" i="7" s="1"/>
  <c r="AN91" i="7" s="1"/>
  <c r="AO91" i="7" s="1"/>
  <c r="V91" i="7"/>
  <c r="W90" i="7"/>
  <c r="X90" i="7" s="1"/>
  <c r="Y90" i="7" s="1"/>
  <c r="Z90" i="7" s="1"/>
  <c r="AA90" i="7" s="1"/>
  <c r="AB90" i="7" s="1"/>
  <c r="AC90" i="7" s="1"/>
  <c r="AD90" i="7" s="1"/>
  <c r="AE90" i="7" s="1"/>
  <c r="AF90" i="7" s="1"/>
  <c r="AG90" i="7" s="1"/>
  <c r="AH90" i="7" s="1"/>
  <c r="AI90" i="7" s="1"/>
  <c r="AJ90" i="7" s="1"/>
  <c r="AK90" i="7" s="1"/>
  <c r="AL90" i="7" s="1"/>
  <c r="AM90" i="7" s="1"/>
  <c r="AN90" i="7" s="1"/>
  <c r="AO90" i="7" s="1"/>
  <c r="V90" i="7"/>
  <c r="V89" i="7"/>
  <c r="W89" i="7" s="1"/>
  <c r="X89" i="7" s="1"/>
  <c r="Y89" i="7" s="1"/>
  <c r="Z89" i="7" s="1"/>
  <c r="AA89" i="7" s="1"/>
  <c r="AB89" i="7" s="1"/>
  <c r="AC89" i="7" s="1"/>
  <c r="AD89" i="7" s="1"/>
  <c r="AE89" i="7" s="1"/>
  <c r="AF89" i="7" s="1"/>
  <c r="AG89" i="7" s="1"/>
  <c r="AH89" i="7" s="1"/>
  <c r="AI89" i="7" s="1"/>
  <c r="AJ89" i="7" s="1"/>
  <c r="AK89" i="7" s="1"/>
  <c r="AL89" i="7" s="1"/>
  <c r="AM89" i="7" s="1"/>
  <c r="AN89" i="7" s="1"/>
  <c r="AO89" i="7" s="1"/>
  <c r="W88" i="7"/>
  <c r="X88" i="7" s="1"/>
  <c r="Y88" i="7" s="1"/>
  <c r="Z88" i="7" s="1"/>
  <c r="AA88" i="7" s="1"/>
  <c r="AB88" i="7" s="1"/>
  <c r="AC88" i="7" s="1"/>
  <c r="AD88" i="7" s="1"/>
  <c r="AE88" i="7" s="1"/>
  <c r="AF88" i="7" s="1"/>
  <c r="AG88" i="7" s="1"/>
  <c r="AH88" i="7" s="1"/>
  <c r="AI88" i="7" s="1"/>
  <c r="AJ88" i="7" s="1"/>
  <c r="AK88" i="7" s="1"/>
  <c r="AL88" i="7" s="1"/>
  <c r="AM88" i="7" s="1"/>
  <c r="AN88" i="7" s="1"/>
  <c r="AO88" i="7" s="1"/>
  <c r="V88" i="7"/>
  <c r="F86" i="7"/>
  <c r="J86" i="7" s="1"/>
  <c r="N86" i="7" s="1"/>
  <c r="R86" i="7" s="1"/>
  <c r="V86" i="7" s="1"/>
  <c r="Z86" i="7" s="1"/>
  <c r="AD86" i="7" s="1"/>
  <c r="AH86" i="7" s="1"/>
  <c r="AL86" i="7" s="1"/>
  <c r="C5" i="7"/>
  <c r="C6" i="7"/>
  <c r="C7" i="7"/>
  <c r="C8" i="7"/>
  <c r="C9" i="7"/>
  <c r="C10" i="7"/>
  <c r="C11" i="7"/>
  <c r="B115" i="7" s="1"/>
  <c r="C12" i="7"/>
  <c r="AY13" i="9"/>
  <c r="B118" i="7"/>
  <c r="AY15" i="9"/>
  <c r="B120" i="7"/>
  <c r="G2" i="7"/>
  <c r="K2" i="7" s="1"/>
  <c r="O2" i="7" s="1"/>
  <c r="S2" i="7" s="1"/>
  <c r="W2" i="7" s="1"/>
  <c r="AA2" i="7" s="1"/>
  <c r="AE2" i="7" s="1"/>
  <c r="AI2" i="7" s="1"/>
  <c r="BF5" i="9"/>
  <c r="AA29" i="5"/>
  <c r="AA30" i="5"/>
  <c r="C27" i="5"/>
  <c r="AA27" i="5" s="1"/>
  <c r="C28" i="5"/>
  <c r="G28" i="5" s="1"/>
  <c r="G34" i="5"/>
  <c r="AE34" i="5" s="1"/>
  <c r="G35" i="5"/>
  <c r="G41" i="5"/>
  <c r="G42" i="5"/>
  <c r="H42" i="5" s="1"/>
  <c r="I42" i="5" s="1"/>
  <c r="J42" i="5" s="1"/>
  <c r="D26" i="5"/>
  <c r="E26" i="5" s="1"/>
  <c r="F26" i="5" s="1"/>
  <c r="G40" i="5"/>
  <c r="G39" i="5"/>
  <c r="D39" i="5"/>
  <c r="E39" i="5" s="1"/>
  <c r="F39" i="5" s="1"/>
  <c r="G33" i="5"/>
  <c r="H33" i="5" s="1"/>
  <c r="I33" i="5" s="1"/>
  <c r="J33" i="5" s="1"/>
  <c r="D33" i="5"/>
  <c r="E33" i="5" s="1"/>
  <c r="F33" i="5" s="1"/>
  <c r="G32" i="5"/>
  <c r="AE32" i="5" s="1"/>
  <c r="G31" i="5"/>
  <c r="AE31" i="5" s="1"/>
  <c r="G30" i="5"/>
  <c r="H30" i="5" s="1"/>
  <c r="I30" i="5" s="1"/>
  <c r="J30" i="5" s="1"/>
  <c r="D30" i="5"/>
  <c r="E30" i="5" s="1"/>
  <c r="F30" i="5" s="1"/>
  <c r="D29" i="5"/>
  <c r="E29" i="5" s="1"/>
  <c r="F29" i="5" s="1"/>
  <c r="P41" i="1"/>
  <c r="Q41" i="1" s="1"/>
  <c r="R41" i="1" s="1"/>
  <c r="S41" i="1" s="1"/>
  <c r="P40" i="1"/>
  <c r="Q40" i="1" s="1"/>
  <c r="R40" i="1" s="1"/>
  <c r="S40" i="1" s="1"/>
  <c r="P39" i="1"/>
  <c r="Q39" i="1" s="1"/>
  <c r="R39" i="1" s="1"/>
  <c r="S39" i="1" s="1"/>
  <c r="P38" i="1"/>
  <c r="Q38" i="1" s="1"/>
  <c r="R38" i="1" s="1"/>
  <c r="S38" i="1" s="1"/>
  <c r="L37" i="1"/>
  <c r="M37" i="1" s="1"/>
  <c r="N37" i="1" s="1"/>
  <c r="O37" i="1" s="1"/>
  <c r="L35" i="1"/>
  <c r="M35" i="1" s="1"/>
  <c r="N35" i="1" s="1"/>
  <c r="O35" i="1" s="1"/>
  <c r="H33" i="1"/>
  <c r="I33" i="1" s="1"/>
  <c r="J33" i="1" s="1"/>
  <c r="K33" i="1" s="1"/>
  <c r="L33" i="1" s="1"/>
  <c r="M33" i="1" s="1"/>
  <c r="H32" i="1"/>
  <c r="I32" i="1" s="1"/>
  <c r="J32" i="1" s="1"/>
  <c r="K32" i="1" s="1"/>
  <c r="F27" i="1"/>
  <c r="G27" i="1" s="1"/>
  <c r="H27" i="1" s="1"/>
  <c r="I27" i="1" s="1"/>
  <c r="J27" i="1" s="1"/>
  <c r="K27" i="1" s="1"/>
  <c r="B116" i="7" l="1"/>
  <c r="B114" i="7"/>
  <c r="C129" i="7"/>
  <c r="C134" i="7" s="1"/>
  <c r="B109" i="7"/>
  <c r="X5" i="8"/>
  <c r="D27" i="5"/>
  <c r="E27" i="5" s="1"/>
  <c r="F27" i="5" s="1"/>
  <c r="H39" i="5"/>
  <c r="I39" i="5" s="1"/>
  <c r="J39" i="5" s="1"/>
  <c r="BC5" i="9"/>
  <c r="G27" i="5"/>
  <c r="H27" i="5" s="1"/>
  <c r="I27" i="5" s="1"/>
  <c r="J27" i="5" s="1"/>
  <c r="BE5" i="9"/>
  <c r="AA28" i="5"/>
  <c r="BD5" i="9"/>
  <c r="AA26" i="5"/>
  <c r="C4" i="7"/>
  <c r="C128" i="7" s="1"/>
  <c r="C133" i="7" s="1"/>
  <c r="AY14" i="9"/>
  <c r="AY16" i="9"/>
  <c r="B117" i="7"/>
  <c r="B123" i="7"/>
  <c r="AY19" i="9"/>
  <c r="L42" i="9"/>
  <c r="M28" i="9"/>
  <c r="M42" i="9" s="1"/>
  <c r="S42" i="9"/>
  <c r="T36" i="9"/>
  <c r="T42" i="9" s="1"/>
  <c r="N42" i="9"/>
  <c r="O30" i="9"/>
  <c r="G42" i="9"/>
  <c r="H27" i="9"/>
  <c r="D42" i="9"/>
  <c r="E42" i="9"/>
  <c r="F42" i="9"/>
  <c r="B113" i="7"/>
  <c r="B119" i="7"/>
  <c r="B112" i="7"/>
  <c r="B111" i="7"/>
  <c r="B110" i="7"/>
  <c r="AG33" i="5"/>
  <c r="AC29" i="5"/>
  <c r="AB30" i="5"/>
  <c r="AB26" i="5"/>
  <c r="AF33" i="5"/>
  <c r="AE33" i="5"/>
  <c r="AB29" i="5"/>
  <c r="D42" i="5"/>
  <c r="E42" i="5" s="1"/>
  <c r="F42" i="5" s="1"/>
  <c r="K41" i="5"/>
  <c r="H41" i="5"/>
  <c r="I41" i="5" s="1"/>
  <c r="J41" i="5" s="1"/>
  <c r="K34" i="5"/>
  <c r="H34" i="5"/>
  <c r="K35" i="5"/>
  <c r="AI35" i="5" s="1"/>
  <c r="H35" i="5"/>
  <c r="I35" i="5" s="1"/>
  <c r="J35" i="5" s="1"/>
  <c r="K32" i="5"/>
  <c r="H32" i="5"/>
  <c r="H28" i="5"/>
  <c r="I28" i="5" s="1"/>
  <c r="J28" i="5" s="1"/>
  <c r="K28" i="5"/>
  <c r="H31" i="5"/>
  <c r="K31" i="5"/>
  <c r="H40" i="5"/>
  <c r="I40" i="5" s="1"/>
  <c r="J40" i="5" s="1"/>
  <c r="K40" i="5"/>
  <c r="D41" i="5"/>
  <c r="E41" i="5" s="1"/>
  <c r="F41" i="5" s="1"/>
  <c r="D32" i="5"/>
  <c r="E32" i="5" s="1"/>
  <c r="F32" i="5" s="1"/>
  <c r="D35" i="5"/>
  <c r="E35" i="5" s="1"/>
  <c r="F35" i="5" s="1"/>
  <c r="K39" i="5"/>
  <c r="K42" i="5"/>
  <c r="D28" i="5"/>
  <c r="E28" i="5" s="1"/>
  <c r="F28" i="5" s="1"/>
  <c r="D31" i="5"/>
  <c r="E31" i="5" s="1"/>
  <c r="F31" i="5" s="1"/>
  <c r="D34" i="5"/>
  <c r="E34" i="5" s="1"/>
  <c r="F34" i="5" s="1"/>
  <c r="D40" i="5"/>
  <c r="E40" i="5" s="1"/>
  <c r="F40" i="5" s="1"/>
  <c r="G26" i="5"/>
  <c r="G29" i="5"/>
  <c r="K30" i="5"/>
  <c r="K33" i="5"/>
  <c r="AB27" i="5" l="1"/>
  <c r="AC27" i="5"/>
  <c r="K27" i="5"/>
  <c r="L27" i="5" s="1"/>
  <c r="B108" i="7"/>
  <c r="B122" i="7"/>
  <c r="AY18" i="9"/>
  <c r="B124" i="7"/>
  <c r="AY20" i="9"/>
  <c r="I27" i="9"/>
  <c r="H42" i="9"/>
  <c r="O42" i="9"/>
  <c r="P30" i="9"/>
  <c r="BA21" i="1"/>
  <c r="AC26" i="5"/>
  <c r="AI34" i="5"/>
  <c r="AC30" i="5"/>
  <c r="AB28" i="5"/>
  <c r="AC28" i="5"/>
  <c r="I34" i="5"/>
  <c r="AF34" i="5"/>
  <c r="I32" i="5"/>
  <c r="AF32" i="5"/>
  <c r="I31" i="5"/>
  <c r="AF31" i="5"/>
  <c r="O39" i="5"/>
  <c r="AM39" i="5" s="1"/>
  <c r="L39" i="5"/>
  <c r="M39" i="5" s="1"/>
  <c r="N39" i="5" s="1"/>
  <c r="O33" i="5"/>
  <c r="L33" i="5"/>
  <c r="O28" i="5"/>
  <c r="L28" i="5"/>
  <c r="M28" i="5" s="1"/>
  <c r="N28" i="5" s="1"/>
  <c r="O30" i="5"/>
  <c r="L30" i="5"/>
  <c r="K29" i="5"/>
  <c r="H29" i="5"/>
  <c r="L34" i="5"/>
  <c r="O34" i="5"/>
  <c r="O42" i="5"/>
  <c r="AM42" i="5" s="1"/>
  <c r="L42" i="5"/>
  <c r="M42" i="5" s="1"/>
  <c r="N42" i="5" s="1"/>
  <c r="L41" i="5"/>
  <c r="M41" i="5" s="1"/>
  <c r="N41" i="5" s="1"/>
  <c r="O41" i="5"/>
  <c r="AM41" i="5" s="1"/>
  <c r="K26" i="5"/>
  <c r="H26" i="5"/>
  <c r="L32" i="5"/>
  <c r="O32" i="5"/>
  <c r="O40" i="5"/>
  <c r="AM40" i="5" s="1"/>
  <c r="L40" i="5"/>
  <c r="M40" i="5" s="1"/>
  <c r="N40" i="5" s="1"/>
  <c r="O35" i="5"/>
  <c r="L35" i="5"/>
  <c r="O31" i="5"/>
  <c r="L31" i="5"/>
  <c r="O27" i="5" l="1"/>
  <c r="S27" i="5" s="1"/>
  <c r="P42" i="9"/>
  <c r="Q30" i="9"/>
  <c r="I42" i="9"/>
  <c r="J27" i="9"/>
  <c r="BB21" i="1"/>
  <c r="AM35" i="5"/>
  <c r="AD27" i="5"/>
  <c r="AD26" i="5"/>
  <c r="AD30" i="5"/>
  <c r="AH33" i="5"/>
  <c r="AJ34" i="5"/>
  <c r="AD29" i="5"/>
  <c r="M27" i="5"/>
  <c r="AD28" i="5"/>
  <c r="M30" i="5"/>
  <c r="M35" i="5"/>
  <c r="AJ35" i="5"/>
  <c r="M34" i="5"/>
  <c r="J34" i="5"/>
  <c r="AH34" i="5" s="1"/>
  <c r="AG34" i="5"/>
  <c r="M33" i="5"/>
  <c r="J32" i="5"/>
  <c r="AH32" i="5" s="1"/>
  <c r="AG32" i="5"/>
  <c r="M32" i="5"/>
  <c r="J31" i="5"/>
  <c r="AH31" i="5" s="1"/>
  <c r="AG31" i="5"/>
  <c r="M31" i="5"/>
  <c r="I29" i="5"/>
  <c r="I26" i="5"/>
  <c r="S39" i="5"/>
  <c r="T39" i="5" s="1"/>
  <c r="U39" i="5" s="1"/>
  <c r="V39" i="5" s="1"/>
  <c r="P39" i="5"/>
  <c r="O26" i="5"/>
  <c r="L26" i="5"/>
  <c r="S42" i="5"/>
  <c r="P42" i="5"/>
  <c r="P30" i="5"/>
  <c r="S30" i="5"/>
  <c r="S34" i="5"/>
  <c r="P34" i="5"/>
  <c r="P41" i="5"/>
  <c r="S41" i="5"/>
  <c r="S31" i="5"/>
  <c r="P31" i="5"/>
  <c r="S28" i="5"/>
  <c r="T28" i="5" s="1"/>
  <c r="U28" i="5" s="1"/>
  <c r="V28" i="5" s="1"/>
  <c r="P28" i="5"/>
  <c r="Q28" i="5" s="1"/>
  <c r="R28" i="5" s="1"/>
  <c r="S35" i="5"/>
  <c r="P35" i="5"/>
  <c r="S33" i="5"/>
  <c r="P33" i="5"/>
  <c r="S40" i="5"/>
  <c r="P40" i="5"/>
  <c r="L29" i="5"/>
  <c r="O29" i="5"/>
  <c r="P32" i="5"/>
  <c r="S32" i="5"/>
  <c r="X4" i="8"/>
  <c r="P27" i="5" l="1"/>
  <c r="Q27" i="5" s="1"/>
  <c r="C124" i="7"/>
  <c r="AZ20" i="9"/>
  <c r="F124" i="7"/>
  <c r="BC20" i="9"/>
  <c r="C123" i="7"/>
  <c r="AZ19" i="9"/>
  <c r="F123" i="7"/>
  <c r="BC19" i="9"/>
  <c r="K27" i="9"/>
  <c r="K42" i="9" s="1"/>
  <c r="J42" i="9"/>
  <c r="Q42" i="9"/>
  <c r="R30" i="9"/>
  <c r="R42" i="9" s="1"/>
  <c r="BC21" i="1"/>
  <c r="AI32" i="5"/>
  <c r="AE26" i="5"/>
  <c r="AI33" i="5"/>
  <c r="AI31" i="5"/>
  <c r="G5" i="7"/>
  <c r="AE27" i="5"/>
  <c r="AE29" i="5"/>
  <c r="AE30" i="5"/>
  <c r="AQ39" i="5"/>
  <c r="T27" i="5"/>
  <c r="N27" i="5"/>
  <c r="Q39" i="5"/>
  <c r="AN39" i="5"/>
  <c r="AE28" i="5"/>
  <c r="T40" i="5"/>
  <c r="AQ40" i="5"/>
  <c r="Q40" i="5"/>
  <c r="AN40" i="5"/>
  <c r="N30" i="5"/>
  <c r="Q30" i="5"/>
  <c r="T30" i="5"/>
  <c r="T35" i="5"/>
  <c r="Q35" i="5"/>
  <c r="AN35" i="5"/>
  <c r="N35" i="5"/>
  <c r="AL35" i="5" s="1"/>
  <c r="AK35" i="5"/>
  <c r="N34" i="5"/>
  <c r="T34" i="5"/>
  <c r="Q34" i="5"/>
  <c r="N33" i="5"/>
  <c r="Q33" i="5"/>
  <c r="T33" i="5"/>
  <c r="T32" i="5"/>
  <c r="Q32" i="5"/>
  <c r="N32" i="5"/>
  <c r="T31" i="5"/>
  <c r="Q31" i="5"/>
  <c r="N31" i="5"/>
  <c r="J29" i="5"/>
  <c r="M29" i="5"/>
  <c r="T41" i="5"/>
  <c r="AQ41" i="5"/>
  <c r="Q41" i="5"/>
  <c r="AN41" i="5"/>
  <c r="T42" i="5"/>
  <c r="AQ42" i="5"/>
  <c r="Q42" i="5"/>
  <c r="AN42" i="5"/>
  <c r="M26" i="5"/>
  <c r="J26" i="5"/>
  <c r="S29" i="5"/>
  <c r="P29" i="5"/>
  <c r="S26" i="5"/>
  <c r="P26" i="5"/>
  <c r="E20" i="8"/>
  <c r="AV4" i="8"/>
  <c r="J123" i="7" l="1"/>
  <c r="BG19" i="9"/>
  <c r="G123" i="7"/>
  <c r="BD19" i="9"/>
  <c r="J124" i="7"/>
  <c r="BG20" i="9"/>
  <c r="G124" i="7"/>
  <c r="BD20" i="9"/>
  <c r="D124" i="7"/>
  <c r="BA20" i="9"/>
  <c r="D123" i="7"/>
  <c r="BA19" i="9"/>
  <c r="F109" i="7"/>
  <c r="BD21" i="1"/>
  <c r="AL34" i="5"/>
  <c r="AJ33" i="5"/>
  <c r="H5" i="7"/>
  <c r="AF27" i="5"/>
  <c r="AR40" i="5"/>
  <c r="AF29" i="5"/>
  <c r="AK34" i="5"/>
  <c r="AF30" i="5"/>
  <c r="AJ31" i="5"/>
  <c r="AF26" i="5"/>
  <c r="AJ32" i="5"/>
  <c r="R39" i="5"/>
  <c r="AP39" i="5" s="1"/>
  <c r="AO39" i="5"/>
  <c r="I20" i="8"/>
  <c r="R27" i="5"/>
  <c r="U27" i="5"/>
  <c r="C20" i="8"/>
  <c r="AF28" i="5"/>
  <c r="R40" i="5"/>
  <c r="AP40" i="5" s="1"/>
  <c r="AO40" i="5"/>
  <c r="U40" i="5"/>
  <c r="U30" i="5"/>
  <c r="R30" i="5"/>
  <c r="R35" i="5"/>
  <c r="AO35" i="5"/>
  <c r="U35" i="5"/>
  <c r="U34" i="5"/>
  <c r="R34" i="5"/>
  <c r="U33" i="5"/>
  <c r="R33" i="5"/>
  <c r="U32" i="5"/>
  <c r="R32" i="5"/>
  <c r="U31" i="5"/>
  <c r="R31" i="5"/>
  <c r="T29" i="5"/>
  <c r="Q29" i="5"/>
  <c r="N29" i="5"/>
  <c r="R41" i="5"/>
  <c r="AP41" i="5" s="1"/>
  <c r="AO41" i="5"/>
  <c r="U41" i="5"/>
  <c r="AR41" i="5"/>
  <c r="R42" i="5"/>
  <c r="AP42" i="5" s="1"/>
  <c r="AO42" i="5"/>
  <c r="U42" i="5"/>
  <c r="AR42" i="5"/>
  <c r="Q26" i="5"/>
  <c r="T26" i="5"/>
  <c r="N26" i="5"/>
  <c r="BK20" i="9"/>
  <c r="F20" i="8"/>
  <c r="BK19" i="9"/>
  <c r="E124" i="7" l="1"/>
  <c r="BB20" i="9"/>
  <c r="H124" i="7"/>
  <c r="BE20" i="9"/>
  <c r="E123" i="7"/>
  <c r="BB19" i="9"/>
  <c r="H123" i="7"/>
  <c r="BE19" i="9"/>
  <c r="BO20" i="9"/>
  <c r="O20" i="7"/>
  <c r="N124" i="7" s="1"/>
  <c r="BL20" i="9"/>
  <c r="BO19" i="9"/>
  <c r="O19" i="7"/>
  <c r="N123" i="7" s="1"/>
  <c r="BL19" i="9"/>
  <c r="G109" i="7"/>
  <c r="BE21" i="1"/>
  <c r="AK32" i="5"/>
  <c r="AK31" i="5"/>
  <c r="AG29" i="5"/>
  <c r="AG30" i="5"/>
  <c r="AR39" i="5"/>
  <c r="I5" i="7"/>
  <c r="AG27" i="5"/>
  <c r="AK33" i="5"/>
  <c r="AS40" i="5"/>
  <c r="AG26" i="5"/>
  <c r="AP35" i="5"/>
  <c r="J20" i="8"/>
  <c r="D20" i="8"/>
  <c r="M20" i="8"/>
  <c r="V27" i="5"/>
  <c r="AG28" i="5"/>
  <c r="V40" i="5"/>
  <c r="V30" i="5"/>
  <c r="V35" i="5"/>
  <c r="V34" i="5"/>
  <c r="V33" i="5"/>
  <c r="V32" i="5"/>
  <c r="V31" i="5"/>
  <c r="R29" i="5"/>
  <c r="U29" i="5"/>
  <c r="V41" i="5"/>
  <c r="AT41" i="5" s="1"/>
  <c r="AS41" i="5"/>
  <c r="V42" i="5"/>
  <c r="AT42" i="5" s="1"/>
  <c r="AS42" i="5"/>
  <c r="U26" i="5"/>
  <c r="V26" i="5" s="1"/>
  <c r="R26" i="5"/>
  <c r="G20" i="8"/>
  <c r="K39" i="7"/>
  <c r="C23" i="7"/>
  <c r="K123" i="7" l="1"/>
  <c r="BH19" i="9"/>
  <c r="I123" i="7"/>
  <c r="BF19" i="9"/>
  <c r="L124" i="7"/>
  <c r="BI20" i="9"/>
  <c r="B121" i="7"/>
  <c r="AY17" i="9"/>
  <c r="K124" i="7"/>
  <c r="BH20" i="9"/>
  <c r="I124" i="7"/>
  <c r="BF20" i="9"/>
  <c r="BS19" i="9"/>
  <c r="S19" i="7"/>
  <c r="R123" i="7" s="1"/>
  <c r="P20" i="7"/>
  <c r="O124" i="7" s="1"/>
  <c r="P19" i="7"/>
  <c r="O123" i="7" s="1"/>
  <c r="BM19" i="9"/>
  <c r="M38" i="7"/>
  <c r="BS20" i="9"/>
  <c r="S20" i="7"/>
  <c r="R124" i="7" s="1"/>
  <c r="H109" i="7"/>
  <c r="BF21" i="1"/>
  <c r="AH27" i="5"/>
  <c r="AH30" i="5"/>
  <c r="AH26" i="5"/>
  <c r="AH29" i="5"/>
  <c r="AQ35" i="5"/>
  <c r="AL31" i="5"/>
  <c r="AS39" i="5"/>
  <c r="AL33" i="5"/>
  <c r="AM34" i="5"/>
  <c r="AL32" i="5"/>
  <c r="M39" i="7"/>
  <c r="BM20" i="9"/>
  <c r="K20" i="8"/>
  <c r="AF20" i="8" s="1"/>
  <c r="G38" i="5"/>
  <c r="D38" i="5"/>
  <c r="E38" i="5" s="1"/>
  <c r="F38" i="5" s="1"/>
  <c r="H20" i="8"/>
  <c r="AC20" i="8" s="1"/>
  <c r="BA20" i="8" s="1"/>
  <c r="AE20" i="8"/>
  <c r="BC20" i="8" s="1"/>
  <c r="AH28" i="5"/>
  <c r="V29" i="5"/>
  <c r="N20" i="8"/>
  <c r="E39" i="7"/>
  <c r="Z20" i="8"/>
  <c r="AX20" i="8" s="1"/>
  <c r="D39" i="7"/>
  <c r="Y20" i="8"/>
  <c r="AW20" i="8" s="1"/>
  <c r="I39" i="7"/>
  <c r="AD20" i="8"/>
  <c r="BB20" i="8" s="1"/>
  <c r="F39" i="7"/>
  <c r="AA20" i="8"/>
  <c r="AY20" i="8" s="1"/>
  <c r="L39" i="7"/>
  <c r="C39" i="7"/>
  <c r="X20" i="8"/>
  <c r="H39" i="7"/>
  <c r="O39" i="7"/>
  <c r="AJ20" i="8"/>
  <c r="G39" i="7"/>
  <c r="AB20" i="8"/>
  <c r="I38" i="7"/>
  <c r="AD19" i="8"/>
  <c r="BB19" i="8" s="1"/>
  <c r="O38" i="7"/>
  <c r="AJ19" i="8"/>
  <c r="G38" i="7"/>
  <c r="AB19" i="8"/>
  <c r="J38" i="7"/>
  <c r="AE19" i="8"/>
  <c r="BC19" i="8" s="1"/>
  <c r="F38" i="7"/>
  <c r="AA19" i="8"/>
  <c r="AY19" i="8" s="1"/>
  <c r="H38" i="7"/>
  <c r="AC19" i="8"/>
  <c r="BA19" i="8" s="1"/>
  <c r="E38" i="7"/>
  <c r="Z19" i="8"/>
  <c r="AX19" i="8" s="1"/>
  <c r="L38" i="7"/>
  <c r="AG19" i="8"/>
  <c r="BE19" i="8" s="1"/>
  <c r="D38" i="7"/>
  <c r="Y19" i="8"/>
  <c r="AW19" i="8" s="1"/>
  <c r="K38" i="7"/>
  <c r="AF19" i="8"/>
  <c r="C38" i="7"/>
  <c r="X19" i="8"/>
  <c r="P39" i="7" l="1"/>
  <c r="P38" i="7"/>
  <c r="M123" i="7"/>
  <c r="BJ19" i="9"/>
  <c r="L123" i="7"/>
  <c r="BI19" i="9"/>
  <c r="S39" i="7"/>
  <c r="T19" i="7"/>
  <c r="S123" i="7" s="1"/>
  <c r="BP19" i="9"/>
  <c r="M124" i="7"/>
  <c r="BJ20" i="9"/>
  <c r="T20" i="7"/>
  <c r="S124" i="7" s="1"/>
  <c r="BP20" i="9"/>
  <c r="W20" i="7"/>
  <c r="V124" i="7" s="1"/>
  <c r="BT20" i="9"/>
  <c r="Q19" i="7"/>
  <c r="P123" i="7" s="1"/>
  <c r="Q20" i="7"/>
  <c r="P124" i="7" s="1"/>
  <c r="AN19" i="8"/>
  <c r="BL19" i="8" s="1"/>
  <c r="W19" i="7"/>
  <c r="V123" i="7" s="1"/>
  <c r="BW19" i="9"/>
  <c r="BT19" i="9"/>
  <c r="I109" i="7"/>
  <c r="BG21" i="1"/>
  <c r="AM33" i="5"/>
  <c r="AI29" i="5"/>
  <c r="AR35" i="5"/>
  <c r="AI30" i="5"/>
  <c r="AT39" i="5"/>
  <c r="AM32" i="5"/>
  <c r="AN34" i="5"/>
  <c r="AM31" i="5"/>
  <c r="AI26" i="5"/>
  <c r="AI27" i="5"/>
  <c r="AT40" i="5"/>
  <c r="AH19" i="8"/>
  <c r="BF19" i="8" s="1"/>
  <c r="AH20" i="8"/>
  <c r="BF20" i="8" s="1"/>
  <c r="BN19" i="9"/>
  <c r="N39" i="7"/>
  <c r="BN20" i="9"/>
  <c r="S38" i="7"/>
  <c r="L20" i="8"/>
  <c r="AG20" i="8" s="1"/>
  <c r="BE20" i="8" s="1"/>
  <c r="H38" i="5"/>
  <c r="I38" i="5" s="1"/>
  <c r="J38" i="5" s="1"/>
  <c r="K38" i="5"/>
  <c r="G37" i="5"/>
  <c r="D37" i="5"/>
  <c r="E37" i="5" s="1"/>
  <c r="F37" i="5" s="1"/>
  <c r="G36" i="5"/>
  <c r="D36" i="5"/>
  <c r="E36" i="5" s="1"/>
  <c r="F36" i="5" s="1"/>
  <c r="AI28" i="5"/>
  <c r="J39" i="7"/>
  <c r="AK20" i="8"/>
  <c r="BI20" i="8" s="1"/>
  <c r="AN20" i="8"/>
  <c r="BL20" i="8" s="1"/>
  <c r="BD20" i="8"/>
  <c r="AZ19" i="8"/>
  <c r="AB44" i="8"/>
  <c r="AZ20" i="8"/>
  <c r="AB45" i="8"/>
  <c r="AV20" i="8"/>
  <c r="X45" i="8"/>
  <c r="AV19" i="8"/>
  <c r="X44" i="8"/>
  <c r="BD19" i="8"/>
  <c r="BH20" i="8"/>
  <c r="BH19" i="8"/>
  <c r="AK19" i="8"/>
  <c r="BI19" i="8" s="1"/>
  <c r="X7" i="8"/>
  <c r="C42" i="1"/>
  <c r="L36" i="1"/>
  <c r="M36" i="1" s="1"/>
  <c r="N36" i="1" s="1"/>
  <c r="O36" i="1" s="1"/>
  <c r="P36" i="1" s="1"/>
  <c r="Q36" i="1" s="1"/>
  <c r="R36" i="1" s="1"/>
  <c r="S36" i="1" s="1"/>
  <c r="H34" i="1"/>
  <c r="I34" i="1" s="1"/>
  <c r="J34" i="1" s="1"/>
  <c r="K34" i="1" s="1"/>
  <c r="L34" i="1" s="1"/>
  <c r="M34" i="1" s="1"/>
  <c r="N34" i="1" s="1"/>
  <c r="O34" i="1" s="1"/>
  <c r="P34" i="1" s="1"/>
  <c r="Q34" i="1" s="1"/>
  <c r="H31" i="1"/>
  <c r="I31" i="1" s="1"/>
  <c r="J31" i="1" s="1"/>
  <c r="K31" i="1" s="1"/>
  <c r="L31" i="1" s="1"/>
  <c r="M31" i="1" s="1"/>
  <c r="N31" i="1" s="1"/>
  <c r="O31" i="1" s="1"/>
  <c r="P31" i="1" s="1"/>
  <c r="Q31" i="1" s="1"/>
  <c r="D30" i="1"/>
  <c r="E30" i="1" s="1"/>
  <c r="F30" i="1" s="1"/>
  <c r="G30" i="1" s="1"/>
  <c r="H30" i="1" s="1"/>
  <c r="I30" i="1" s="1"/>
  <c r="J30" i="1" s="1"/>
  <c r="K30" i="1" s="1"/>
  <c r="L30" i="1" s="1"/>
  <c r="M30" i="1" s="1"/>
  <c r="N30" i="1" s="1"/>
  <c r="D29" i="1"/>
  <c r="E29" i="1" s="1"/>
  <c r="F29" i="1" s="1"/>
  <c r="G29" i="1" s="1"/>
  <c r="H29" i="1" s="1"/>
  <c r="I29" i="1" s="1"/>
  <c r="J29" i="1" s="1"/>
  <c r="K29" i="1" s="1"/>
  <c r="L29" i="1" s="1"/>
  <c r="M29" i="1" s="1"/>
  <c r="D28" i="1"/>
  <c r="BC6" i="9" l="1"/>
  <c r="G6" i="7"/>
  <c r="F110" i="7" s="1"/>
  <c r="T39" i="7"/>
  <c r="Q39" i="7"/>
  <c r="U20" i="7"/>
  <c r="T124" i="7" s="1"/>
  <c r="BQ20" i="9"/>
  <c r="U19" i="7"/>
  <c r="T123" i="7" s="1"/>
  <c r="BQ19" i="9"/>
  <c r="BW20" i="9"/>
  <c r="R20" i="7"/>
  <c r="Q124" i="7" s="1"/>
  <c r="R19" i="7"/>
  <c r="Q123" i="7" s="1"/>
  <c r="X19" i="7"/>
  <c r="W123" i="7" s="1"/>
  <c r="BX19" i="9"/>
  <c r="BU19" i="9"/>
  <c r="AA19" i="7"/>
  <c r="Z123" i="7" s="1"/>
  <c r="CA19" i="9"/>
  <c r="X20" i="7"/>
  <c r="W124" i="7" s="1"/>
  <c r="BU20" i="9"/>
  <c r="Q38" i="7"/>
  <c r="BH21" i="1"/>
  <c r="AJ26" i="5"/>
  <c r="AN32" i="5"/>
  <c r="AS35" i="5"/>
  <c r="AN31" i="5"/>
  <c r="AJ30" i="5"/>
  <c r="AJ29" i="5"/>
  <c r="AA20" i="7"/>
  <c r="AO34" i="5"/>
  <c r="AJ27" i="5"/>
  <c r="AN33" i="5"/>
  <c r="AI20" i="8"/>
  <c r="BG20" i="8" s="1"/>
  <c r="N38" i="7"/>
  <c r="AI19" i="8"/>
  <c r="AO20" i="8"/>
  <c r="BM20" i="8" s="1"/>
  <c r="AI38" i="5"/>
  <c r="L38" i="5"/>
  <c r="O38" i="5"/>
  <c r="T38" i="7"/>
  <c r="AO19" i="8"/>
  <c r="AL20" i="8"/>
  <c r="BJ20" i="8" s="1"/>
  <c r="K37" i="5"/>
  <c r="H37" i="5"/>
  <c r="I37" i="5" s="1"/>
  <c r="J37" i="5" s="1"/>
  <c r="H36" i="5"/>
  <c r="I36" i="5" s="1"/>
  <c r="J36" i="5" s="1"/>
  <c r="K36" i="5"/>
  <c r="AL19" i="8"/>
  <c r="BJ19" i="8" s="1"/>
  <c r="AJ28" i="5"/>
  <c r="AV7" i="8"/>
  <c r="AV5" i="8"/>
  <c r="C35" i="7"/>
  <c r="C30" i="7"/>
  <c r="C26" i="7"/>
  <c r="C24" i="7"/>
  <c r="C27" i="7"/>
  <c r="C28" i="7"/>
  <c r="C36" i="7"/>
  <c r="C34" i="7"/>
  <c r="C32" i="7"/>
  <c r="X6" i="8"/>
  <c r="D42" i="1"/>
  <c r="E28" i="1"/>
  <c r="N42" i="1"/>
  <c r="O30" i="1"/>
  <c r="S42" i="1"/>
  <c r="T36" i="1"/>
  <c r="T42" i="1" s="1"/>
  <c r="AZ8" i="9" l="1"/>
  <c r="D8" i="7"/>
  <c r="BC8" i="9"/>
  <c r="G8" i="7"/>
  <c r="F112" i="7" s="1"/>
  <c r="AZ11" i="9"/>
  <c r="D11" i="7"/>
  <c r="C115" i="7" s="1"/>
  <c r="BC7" i="9"/>
  <c r="G7" i="7"/>
  <c r="F111" i="7" s="1"/>
  <c r="AZ7" i="9"/>
  <c r="D7" i="7"/>
  <c r="AZ15" i="9"/>
  <c r="C119" i="7"/>
  <c r="BG6" i="9"/>
  <c r="K6" i="7"/>
  <c r="J110" i="7" s="1"/>
  <c r="F119" i="7"/>
  <c r="BC15" i="9"/>
  <c r="C118" i="7"/>
  <c r="AZ14" i="9"/>
  <c r="AZ12" i="9"/>
  <c r="D12" i="7"/>
  <c r="AZ5" i="9"/>
  <c r="D5" i="7"/>
  <c r="C109" i="7" s="1"/>
  <c r="BD6" i="9"/>
  <c r="H6" i="7"/>
  <c r="G110" i="7" s="1"/>
  <c r="BC14" i="9"/>
  <c r="F118" i="7"/>
  <c r="AZ9" i="9"/>
  <c r="D9" i="7"/>
  <c r="BC12" i="9"/>
  <c r="G12" i="7"/>
  <c r="F116" i="7" s="1"/>
  <c r="BC16" i="9"/>
  <c r="F120" i="7"/>
  <c r="AZ13" i="9"/>
  <c r="C117" i="7"/>
  <c r="C120" i="7"/>
  <c r="AZ16" i="9"/>
  <c r="D6" i="7"/>
  <c r="C110" i="7" s="1"/>
  <c r="AZ6" i="9"/>
  <c r="BC9" i="9"/>
  <c r="G9" i="7"/>
  <c r="BC10" i="9"/>
  <c r="G10" i="7"/>
  <c r="F114" i="7" s="1"/>
  <c r="AZ10" i="9"/>
  <c r="D10" i="7"/>
  <c r="C114" i="7" s="1"/>
  <c r="BC13" i="9"/>
  <c r="F117" i="7"/>
  <c r="BC11" i="9"/>
  <c r="G11" i="7"/>
  <c r="F115" i="7" s="1"/>
  <c r="AM19" i="8"/>
  <c r="BK19" i="8" s="1"/>
  <c r="R39" i="7"/>
  <c r="F122" i="7"/>
  <c r="BC18" i="9"/>
  <c r="V19" i="7"/>
  <c r="U123" i="7" s="1"/>
  <c r="BR19" i="9"/>
  <c r="V20" i="7"/>
  <c r="U124" i="7" s="1"/>
  <c r="BR20" i="9"/>
  <c r="BX20" i="9"/>
  <c r="C122" i="7"/>
  <c r="AZ18" i="9"/>
  <c r="CA20" i="9"/>
  <c r="F121" i="7"/>
  <c r="BC17" i="9"/>
  <c r="C121" i="7"/>
  <c r="AZ17" i="9"/>
  <c r="Y19" i="7"/>
  <c r="X123" i="7" s="1"/>
  <c r="BY19" i="9"/>
  <c r="BV19" i="9"/>
  <c r="AE19" i="7"/>
  <c r="AD123" i="7" s="1"/>
  <c r="CE19" i="9"/>
  <c r="AB19" i="7"/>
  <c r="AA123" i="7" s="1"/>
  <c r="Y20" i="7"/>
  <c r="X124" i="7" s="1"/>
  <c r="BV20" i="9"/>
  <c r="Z124" i="7"/>
  <c r="BI21" i="1"/>
  <c r="AO31" i="5"/>
  <c r="AK29" i="5"/>
  <c r="AK26" i="5"/>
  <c r="AP34" i="5"/>
  <c r="AT35" i="5"/>
  <c r="AO32" i="5"/>
  <c r="AK27" i="5"/>
  <c r="AO33" i="5"/>
  <c r="AK30" i="5"/>
  <c r="AB20" i="7"/>
  <c r="AF45" i="8"/>
  <c r="R38" i="7"/>
  <c r="AM20" i="8"/>
  <c r="BK20" i="8" s="1"/>
  <c r="BG19" i="8"/>
  <c r="AF44" i="8"/>
  <c r="AI37" i="5"/>
  <c r="L37" i="5"/>
  <c r="O37" i="5"/>
  <c r="U38" i="7"/>
  <c r="AP19" i="8"/>
  <c r="BN19" i="8" s="1"/>
  <c r="AB11" i="8"/>
  <c r="AZ11" i="8" s="1"/>
  <c r="BM19" i="8"/>
  <c r="AP20" i="8"/>
  <c r="U39" i="7"/>
  <c r="AB9" i="8"/>
  <c r="AZ9" i="8" s="1"/>
  <c r="P38" i="5"/>
  <c r="S38" i="5"/>
  <c r="AM38" i="5"/>
  <c r="AI36" i="5"/>
  <c r="O36" i="5"/>
  <c r="L36" i="5"/>
  <c r="M38" i="5"/>
  <c r="AJ38" i="5"/>
  <c r="AK28" i="5"/>
  <c r="AV6" i="8"/>
  <c r="C37" i="7"/>
  <c r="C31" i="7"/>
  <c r="G31" i="7"/>
  <c r="AB12" i="8"/>
  <c r="C29" i="7"/>
  <c r="G24" i="7"/>
  <c r="AB5" i="8"/>
  <c r="G25" i="7"/>
  <c r="AB6" i="8"/>
  <c r="G35" i="7"/>
  <c r="G28" i="7"/>
  <c r="G30" i="7"/>
  <c r="C25" i="7"/>
  <c r="C33" i="7"/>
  <c r="G36" i="7"/>
  <c r="G32" i="7"/>
  <c r="G34" i="7"/>
  <c r="O42" i="1"/>
  <c r="P30" i="1"/>
  <c r="E42" i="1"/>
  <c r="F28" i="1"/>
  <c r="C111" i="7" l="1"/>
  <c r="C116" i="7"/>
  <c r="F113" i="7"/>
  <c r="G129" i="7"/>
  <c r="G134" i="7" s="1"/>
  <c r="C113" i="7"/>
  <c r="D129" i="7"/>
  <c r="D134" i="7" s="1"/>
  <c r="CB19" i="9"/>
  <c r="C112" i="7"/>
  <c r="Y6" i="8"/>
  <c r="AW6" i="8" s="1"/>
  <c r="AB8" i="8"/>
  <c r="AZ8" i="8" s="1"/>
  <c r="BI20" i="7"/>
  <c r="AB7" i="8"/>
  <c r="AZ7" i="8" s="1"/>
  <c r="AF6" i="8"/>
  <c r="BD6" i="8" s="1"/>
  <c r="Y7" i="8"/>
  <c r="AW7" i="8" s="1"/>
  <c r="Y5" i="8"/>
  <c r="AW5" i="8" s="1"/>
  <c r="BG9" i="9"/>
  <c r="K9" i="7"/>
  <c r="BA8" i="9"/>
  <c r="E8" i="7"/>
  <c r="D112" i="7" s="1"/>
  <c r="G117" i="7"/>
  <c r="BD13" i="9"/>
  <c r="BD12" i="9"/>
  <c r="H12" i="7"/>
  <c r="G116" i="7" s="1"/>
  <c r="BA12" i="9"/>
  <c r="E12" i="7"/>
  <c r="D116" i="7" s="1"/>
  <c r="BH6" i="9"/>
  <c r="L6" i="7"/>
  <c r="K110" i="7" s="1"/>
  <c r="BD8" i="9"/>
  <c r="H8" i="7"/>
  <c r="G112" i="7" s="1"/>
  <c r="BA16" i="9"/>
  <c r="D120" i="7"/>
  <c r="BD16" i="9"/>
  <c r="G120" i="7"/>
  <c r="BG10" i="9"/>
  <c r="K10" i="7"/>
  <c r="J114" i="7" s="1"/>
  <c r="BG8" i="9"/>
  <c r="K8" i="7"/>
  <c r="J112" i="7" s="1"/>
  <c r="BG5" i="9"/>
  <c r="K5" i="7"/>
  <c r="J109" i="7" s="1"/>
  <c r="BG14" i="9"/>
  <c r="BA5" i="9"/>
  <c r="E5" i="7"/>
  <c r="D109" i="7" s="1"/>
  <c r="BA15" i="9"/>
  <c r="D119" i="7"/>
  <c r="BA13" i="9"/>
  <c r="D117" i="7"/>
  <c r="D118" i="7"/>
  <c r="BA14" i="9"/>
  <c r="BD14" i="9"/>
  <c r="G118" i="7"/>
  <c r="BD9" i="9"/>
  <c r="H9" i="7"/>
  <c r="BK6" i="9"/>
  <c r="BA6" i="9"/>
  <c r="E6" i="7"/>
  <c r="D110" i="7" s="1"/>
  <c r="BA9" i="9"/>
  <c r="E9" i="7"/>
  <c r="BD7" i="9"/>
  <c r="H7" i="7"/>
  <c r="G111" i="7" s="1"/>
  <c r="BE6" i="9"/>
  <c r="I6" i="7"/>
  <c r="H110" i="7" s="1"/>
  <c r="BG15" i="9"/>
  <c r="J119" i="7"/>
  <c r="G119" i="7"/>
  <c r="BD15" i="9"/>
  <c r="BG11" i="9"/>
  <c r="K11" i="7"/>
  <c r="J115" i="7" s="1"/>
  <c r="BG12" i="9"/>
  <c r="K12" i="7"/>
  <c r="J116" i="7" s="1"/>
  <c r="BA11" i="9"/>
  <c r="E11" i="7"/>
  <c r="D115" i="7" s="1"/>
  <c r="BG7" i="9"/>
  <c r="K7" i="7"/>
  <c r="J111" i="7" s="1"/>
  <c r="BA7" i="9"/>
  <c r="E7" i="7"/>
  <c r="D111" i="7" s="1"/>
  <c r="BD10" i="9"/>
  <c r="H10" i="7"/>
  <c r="G114" i="7" s="1"/>
  <c r="BG13" i="9"/>
  <c r="BD11" i="9"/>
  <c r="H11" i="7"/>
  <c r="G115" i="7" s="1"/>
  <c r="J120" i="7"/>
  <c r="BG16" i="9"/>
  <c r="BA10" i="9"/>
  <c r="E10" i="7"/>
  <c r="D114" i="7" s="1"/>
  <c r="V39" i="7"/>
  <c r="BH20" i="7"/>
  <c r="AQ20" i="8"/>
  <c r="BO20" i="8" s="1"/>
  <c r="AJ44" i="8"/>
  <c r="V38" i="7"/>
  <c r="AQ19" i="8"/>
  <c r="BO19" i="8" s="1"/>
  <c r="BI19" i="7"/>
  <c r="BH19" i="7"/>
  <c r="J122" i="7"/>
  <c r="BG18" i="9"/>
  <c r="CE20" i="9"/>
  <c r="D121" i="7"/>
  <c r="BA17" i="9"/>
  <c r="G121" i="7"/>
  <c r="BD17" i="9"/>
  <c r="CB20" i="9"/>
  <c r="J121" i="7"/>
  <c r="BG17" i="9"/>
  <c r="G122" i="7"/>
  <c r="BD18" i="9"/>
  <c r="D122" i="7"/>
  <c r="BA18" i="9"/>
  <c r="BY20" i="9"/>
  <c r="Z19" i="7"/>
  <c r="Y123" i="7" s="1"/>
  <c r="BZ19" i="9"/>
  <c r="AC19" i="7"/>
  <c r="AB123" i="7" s="1"/>
  <c r="Z20" i="7"/>
  <c r="Y124" i="7" s="1"/>
  <c r="AI19" i="7"/>
  <c r="AH123" i="7" s="1"/>
  <c r="AF19" i="7"/>
  <c r="AE123" i="7" s="1"/>
  <c r="AA124" i="7"/>
  <c r="BJ21" i="1"/>
  <c r="AL30" i="5"/>
  <c r="AL29" i="5"/>
  <c r="AP32" i="5"/>
  <c r="AC20" i="7"/>
  <c r="AP33" i="5"/>
  <c r="AQ34" i="5"/>
  <c r="AL27" i="5"/>
  <c r="AL26" i="5"/>
  <c r="AP31" i="5"/>
  <c r="AJ45" i="8"/>
  <c r="G26" i="7"/>
  <c r="T38" i="5"/>
  <c r="AQ38" i="5"/>
  <c r="BN20" i="8"/>
  <c r="K25" i="7"/>
  <c r="Q38" i="5"/>
  <c r="AN38" i="5"/>
  <c r="AF9" i="8"/>
  <c r="BD9" i="8" s="1"/>
  <c r="AF17" i="8"/>
  <c r="BD17" i="8" s="1"/>
  <c r="BK8" i="9"/>
  <c r="N38" i="5"/>
  <c r="AL38" i="5" s="1"/>
  <c r="AK38" i="5"/>
  <c r="P37" i="5"/>
  <c r="S37" i="5"/>
  <c r="AM37" i="5"/>
  <c r="M37" i="5"/>
  <c r="AJ37" i="5"/>
  <c r="M36" i="5"/>
  <c r="AJ36" i="5"/>
  <c r="AF11" i="8"/>
  <c r="BD11" i="8" s="1"/>
  <c r="AM36" i="5"/>
  <c r="P36" i="5"/>
  <c r="S36" i="5"/>
  <c r="AL28" i="5"/>
  <c r="AZ5" i="8"/>
  <c r="AZ12" i="8"/>
  <c r="AZ6" i="8"/>
  <c r="K37" i="7"/>
  <c r="AF18" i="8"/>
  <c r="D37" i="7"/>
  <c r="G37" i="7"/>
  <c r="D31" i="7"/>
  <c r="D29" i="7"/>
  <c r="G29" i="7"/>
  <c r="AB10" i="8"/>
  <c r="H25" i="7"/>
  <c r="AC6" i="8"/>
  <c r="BA6" i="8" s="1"/>
  <c r="D35" i="7"/>
  <c r="D26" i="7"/>
  <c r="G27" i="7"/>
  <c r="D25" i="7"/>
  <c r="D27" i="7"/>
  <c r="D24" i="7"/>
  <c r="K30" i="7"/>
  <c r="D28" i="7"/>
  <c r="K28" i="7"/>
  <c r="D30" i="7"/>
  <c r="D32" i="7"/>
  <c r="D33" i="7"/>
  <c r="G33" i="7"/>
  <c r="D36" i="7"/>
  <c r="D34" i="7"/>
  <c r="AC9" i="8"/>
  <c r="BK10" i="9"/>
  <c r="BK12" i="9"/>
  <c r="AC11" i="8"/>
  <c r="BK5" i="9"/>
  <c r="G28" i="1"/>
  <c r="F42" i="1"/>
  <c r="P42" i="1"/>
  <c r="Q30" i="1"/>
  <c r="J118" i="7" l="1"/>
  <c r="J113" i="7"/>
  <c r="K129" i="7"/>
  <c r="K134" i="7" s="1"/>
  <c r="J117" i="7"/>
  <c r="K130" i="7"/>
  <c r="K135" i="7" s="1"/>
  <c r="D113" i="7"/>
  <c r="E129" i="7"/>
  <c r="E134" i="7" s="1"/>
  <c r="G113" i="7"/>
  <c r="H129" i="7"/>
  <c r="H134" i="7" s="1"/>
  <c r="CF19" i="9"/>
  <c r="CC19" i="9"/>
  <c r="K34" i="7"/>
  <c r="AF7" i="8"/>
  <c r="BD7" i="8" s="1"/>
  <c r="AC8" i="8"/>
  <c r="BA8" i="8" s="1"/>
  <c r="AF14" i="8"/>
  <c r="BD14" i="8" s="1"/>
  <c r="AF5" i="8"/>
  <c r="BD5" i="8" s="1"/>
  <c r="AG6" i="8"/>
  <c r="BE6" i="8" s="1"/>
  <c r="K24" i="7"/>
  <c r="Z7" i="8"/>
  <c r="AX7" i="8" s="1"/>
  <c r="BH7" i="9"/>
  <c r="L7" i="7"/>
  <c r="K111" i="7" s="1"/>
  <c r="BE7" i="9"/>
  <c r="I7" i="7"/>
  <c r="H111" i="7" s="1"/>
  <c r="BB10" i="9"/>
  <c r="F10" i="7"/>
  <c r="E114" i="7" s="1"/>
  <c r="K35" i="7"/>
  <c r="BH16" i="9"/>
  <c r="K120" i="7"/>
  <c r="BF6" i="9"/>
  <c r="J6" i="7"/>
  <c r="I110" i="7" s="1"/>
  <c r="BB12" i="9"/>
  <c r="F12" i="7"/>
  <c r="E116" i="7" s="1"/>
  <c r="BH8" i="9"/>
  <c r="L8" i="7"/>
  <c r="L27" i="7" s="1"/>
  <c r="BI6" i="9"/>
  <c r="M6" i="7"/>
  <c r="L110" i="7" s="1"/>
  <c r="K27" i="7"/>
  <c r="BP6" i="9"/>
  <c r="BL6" i="9"/>
  <c r="BK15" i="9"/>
  <c r="N119" i="7"/>
  <c r="BK13" i="9"/>
  <c r="BB7" i="9"/>
  <c r="F7" i="7"/>
  <c r="E111" i="7" s="1"/>
  <c r="BP8" i="9"/>
  <c r="BL8" i="9"/>
  <c r="O12" i="7"/>
  <c r="N116" i="7" s="1"/>
  <c r="BH15" i="9"/>
  <c r="K119" i="7"/>
  <c r="BE11" i="9"/>
  <c r="I11" i="7"/>
  <c r="H115" i="7" s="1"/>
  <c r="BE15" i="9"/>
  <c r="H119" i="7"/>
  <c r="BH12" i="9"/>
  <c r="L12" i="7"/>
  <c r="K116" i="7" s="1"/>
  <c r="BK16" i="9"/>
  <c r="N120" i="7"/>
  <c r="BB8" i="9"/>
  <c r="F8" i="7"/>
  <c r="BB11" i="9"/>
  <c r="F11" i="7"/>
  <c r="E115" i="7" s="1"/>
  <c r="BO6" i="9"/>
  <c r="BE9" i="9"/>
  <c r="I9" i="7"/>
  <c r="H118" i="7"/>
  <c r="BE14" i="9"/>
  <c r="BH11" i="9"/>
  <c r="L11" i="7"/>
  <c r="K115" i="7" s="1"/>
  <c r="E118" i="7"/>
  <c r="BB14" i="9"/>
  <c r="BB5" i="9"/>
  <c r="F5" i="7"/>
  <c r="E109" i="7" s="1"/>
  <c r="BH13" i="9"/>
  <c r="BE10" i="9"/>
  <c r="I10" i="7"/>
  <c r="H114" i="7" s="1"/>
  <c r="BB6" i="9"/>
  <c r="F6" i="7"/>
  <c r="E110" i="7" s="1"/>
  <c r="BE16" i="9"/>
  <c r="H120" i="7"/>
  <c r="BH10" i="9"/>
  <c r="L10" i="7"/>
  <c r="K114" i="7" s="1"/>
  <c r="BK9" i="9"/>
  <c r="BH9" i="9"/>
  <c r="L9" i="7"/>
  <c r="BB9" i="9"/>
  <c r="F9" i="7"/>
  <c r="BK14" i="9"/>
  <c r="N118" i="7"/>
  <c r="BE8" i="9"/>
  <c r="I8" i="7"/>
  <c r="H112" i="7" s="1"/>
  <c r="BB16" i="9"/>
  <c r="E120" i="7"/>
  <c r="BH14" i="9"/>
  <c r="K118" i="7"/>
  <c r="E117" i="7"/>
  <c r="BB13" i="9"/>
  <c r="BK11" i="9"/>
  <c r="BH5" i="9"/>
  <c r="L5" i="7"/>
  <c r="K109" i="7" s="1"/>
  <c r="BE13" i="9"/>
  <c r="H117" i="7"/>
  <c r="BK7" i="9"/>
  <c r="AC7" i="8"/>
  <c r="BA7" i="8" s="1"/>
  <c r="BB15" i="9"/>
  <c r="E119" i="7"/>
  <c r="AF16" i="8"/>
  <c r="BD16" i="8" s="1"/>
  <c r="AF13" i="8"/>
  <c r="BD13" i="8" s="1"/>
  <c r="BE12" i="9"/>
  <c r="I12" i="7"/>
  <c r="H116" i="7" s="1"/>
  <c r="AN44" i="8"/>
  <c r="AN45" i="8"/>
  <c r="CC20" i="9"/>
  <c r="BZ20" i="9"/>
  <c r="K121" i="7"/>
  <c r="BH17" i="9"/>
  <c r="CF20" i="9"/>
  <c r="H121" i="7"/>
  <c r="BE17" i="9"/>
  <c r="E122" i="7"/>
  <c r="BB18" i="9"/>
  <c r="H122" i="7"/>
  <c r="BE18" i="9"/>
  <c r="CI20" i="9"/>
  <c r="E121" i="7"/>
  <c r="BB17" i="9"/>
  <c r="O18" i="7"/>
  <c r="BK18" i="9"/>
  <c r="CI19" i="9"/>
  <c r="K122" i="7"/>
  <c r="BH18" i="9"/>
  <c r="AJ19" i="7"/>
  <c r="AI123" i="7" s="1"/>
  <c r="AG19" i="7"/>
  <c r="AF123" i="7" s="1"/>
  <c r="AD19" i="7"/>
  <c r="AC123" i="7" s="1"/>
  <c r="AB124" i="7"/>
  <c r="BK21" i="1"/>
  <c r="O6" i="7"/>
  <c r="O7" i="7"/>
  <c r="AM29" i="5"/>
  <c r="AM19" i="7"/>
  <c r="O10" i="7"/>
  <c r="AQ32" i="5"/>
  <c r="O5" i="7"/>
  <c r="AM27" i="5"/>
  <c r="O9" i="7"/>
  <c r="AQ31" i="5"/>
  <c r="O11" i="7"/>
  <c r="AQ33" i="5"/>
  <c r="AD20" i="7"/>
  <c r="AM26" i="5"/>
  <c r="AR34" i="5"/>
  <c r="O8" i="7"/>
  <c r="AM30" i="5"/>
  <c r="K26" i="7"/>
  <c r="P12" i="7"/>
  <c r="K32" i="7"/>
  <c r="BO17" i="9"/>
  <c r="BL17" i="9"/>
  <c r="BO18" i="9"/>
  <c r="L37" i="7"/>
  <c r="BL18" i="9"/>
  <c r="K36" i="7"/>
  <c r="AF8" i="8"/>
  <c r="BD8" i="8" s="1"/>
  <c r="U38" i="5"/>
  <c r="AR38" i="5"/>
  <c r="T36" i="5"/>
  <c r="AQ36" i="5"/>
  <c r="T37" i="5"/>
  <c r="AQ37" i="5"/>
  <c r="Q36" i="5"/>
  <c r="AN36" i="5"/>
  <c r="Q37" i="5"/>
  <c r="AN37" i="5"/>
  <c r="AJ9" i="8"/>
  <c r="BH9" i="8" s="1"/>
  <c r="AF15" i="8"/>
  <c r="BD15" i="8" s="1"/>
  <c r="R38" i="5"/>
  <c r="AP38" i="5" s="1"/>
  <c r="AO38" i="5"/>
  <c r="N36" i="5"/>
  <c r="AL36" i="5" s="1"/>
  <c r="AK36" i="5"/>
  <c r="AJ11" i="8"/>
  <c r="BH11" i="8" s="1"/>
  <c r="N37" i="5"/>
  <c r="AL37" i="5" s="1"/>
  <c r="AK37" i="5"/>
  <c r="AM28" i="5"/>
  <c r="BA9" i="8"/>
  <c r="BD18" i="8"/>
  <c r="BA11" i="8"/>
  <c r="AZ10" i="8"/>
  <c r="F37" i="7"/>
  <c r="E37" i="7"/>
  <c r="H37" i="7"/>
  <c r="I31" i="7"/>
  <c r="AD12" i="8"/>
  <c r="BB12" i="8" s="1"/>
  <c r="H31" i="7"/>
  <c r="AC12" i="8"/>
  <c r="F31" i="7"/>
  <c r="K31" i="7"/>
  <c r="AF12" i="8"/>
  <c r="E31" i="7"/>
  <c r="O31" i="7"/>
  <c r="AJ12" i="8"/>
  <c r="H29" i="7"/>
  <c r="AC10" i="8"/>
  <c r="BA10" i="8" s="1"/>
  <c r="F29" i="7"/>
  <c r="K29" i="7"/>
  <c r="AF10" i="8"/>
  <c r="O29" i="7"/>
  <c r="AJ10" i="8"/>
  <c r="E29" i="7"/>
  <c r="I25" i="7"/>
  <c r="AD6" i="8"/>
  <c r="E24" i="7"/>
  <c r="Z5" i="8"/>
  <c r="E25" i="7"/>
  <c r="Z6" i="8"/>
  <c r="H24" i="7"/>
  <c r="AC5" i="8"/>
  <c r="I35" i="7"/>
  <c r="E35" i="7"/>
  <c r="F35" i="7"/>
  <c r="H35" i="7"/>
  <c r="L25" i="7"/>
  <c r="E27" i="7"/>
  <c r="O28" i="7"/>
  <c r="H28" i="7"/>
  <c r="F30" i="7"/>
  <c r="H26" i="7"/>
  <c r="H27" i="7"/>
  <c r="H30" i="7"/>
  <c r="O30" i="7"/>
  <c r="E26" i="7"/>
  <c r="E28" i="7"/>
  <c r="F28" i="7"/>
  <c r="E30" i="7"/>
  <c r="F36" i="7"/>
  <c r="F33" i="7"/>
  <c r="E32" i="7"/>
  <c r="F32" i="7"/>
  <c r="E33" i="7"/>
  <c r="K33" i="7"/>
  <c r="H34" i="7"/>
  <c r="F34" i="7"/>
  <c r="H32" i="7"/>
  <c r="H36" i="7"/>
  <c r="H33" i="7"/>
  <c r="E34" i="7"/>
  <c r="E36" i="7"/>
  <c r="AD11" i="8"/>
  <c r="BB11" i="8" s="1"/>
  <c r="AG11" i="8"/>
  <c r="AG9" i="8"/>
  <c r="AD9" i="8"/>
  <c r="BB9" i="8" s="1"/>
  <c r="Q42" i="1"/>
  <c r="R30" i="1"/>
  <c r="R42" i="1" s="1"/>
  <c r="H28" i="1"/>
  <c r="G42" i="1"/>
  <c r="D18" i="8"/>
  <c r="F18" i="8"/>
  <c r="AA18" i="8" s="1"/>
  <c r="E18" i="8"/>
  <c r="Z18" i="8" s="1"/>
  <c r="I18" i="8"/>
  <c r="J18" i="8"/>
  <c r="N122" i="7" l="1"/>
  <c r="E113" i="7"/>
  <c r="F129" i="7"/>
  <c r="F134" i="7" s="1"/>
  <c r="H113" i="7"/>
  <c r="I129" i="7"/>
  <c r="I134" i="7" s="1"/>
  <c r="K113" i="7"/>
  <c r="L129" i="7"/>
  <c r="L134" i="7" s="1"/>
  <c r="O129" i="7"/>
  <c r="O134" i="7" s="1"/>
  <c r="K117" i="7"/>
  <c r="L130" i="7"/>
  <c r="L135" i="7" s="1"/>
  <c r="N117" i="7"/>
  <c r="O130" i="7"/>
  <c r="O135" i="7" s="1"/>
  <c r="CG19" i="9"/>
  <c r="CD19" i="9"/>
  <c r="M8" i="7"/>
  <c r="L112" i="7" s="1"/>
  <c r="BI8" i="9"/>
  <c r="E112" i="7"/>
  <c r="BM8" i="9"/>
  <c r="O32" i="7"/>
  <c r="AD7" i="8"/>
  <c r="BB7" i="8" s="1"/>
  <c r="AA7" i="8"/>
  <c r="AY7" i="8" s="1"/>
  <c r="AA6" i="8"/>
  <c r="AY6" i="8" s="1"/>
  <c r="F25" i="7"/>
  <c r="AJ16" i="8"/>
  <c r="BH16" i="8" s="1"/>
  <c r="AG7" i="8"/>
  <c r="BE7" i="8" s="1"/>
  <c r="AD8" i="8"/>
  <c r="BB8" i="8" s="1"/>
  <c r="AG14" i="8"/>
  <c r="BE14" i="8" s="1"/>
  <c r="F27" i="7"/>
  <c r="AA5" i="8"/>
  <c r="AY5" i="8" s="1"/>
  <c r="AH6" i="8"/>
  <c r="BF6" i="8" s="1"/>
  <c r="F24" i="7"/>
  <c r="O33" i="7"/>
  <c r="AE6" i="8"/>
  <c r="BC6" i="8" s="1"/>
  <c r="O34" i="7"/>
  <c r="J25" i="7"/>
  <c r="BO13" i="9"/>
  <c r="BW16" i="9"/>
  <c r="BO16" i="9"/>
  <c r="R120" i="7"/>
  <c r="BS5" i="9"/>
  <c r="BO5" i="9"/>
  <c r="BS12" i="9"/>
  <c r="BO12" i="9"/>
  <c r="BI12" i="9"/>
  <c r="M12" i="7"/>
  <c r="L116" i="7" s="1"/>
  <c r="I118" i="7"/>
  <c r="BF14" i="9"/>
  <c r="BL15" i="9"/>
  <c r="O119" i="7"/>
  <c r="BP12" i="9"/>
  <c r="BL12" i="9"/>
  <c r="BP11" i="9"/>
  <c r="BL11" i="9"/>
  <c r="BO9" i="9"/>
  <c r="BS6" i="9"/>
  <c r="BF13" i="9"/>
  <c r="I117" i="7"/>
  <c r="BL16" i="9"/>
  <c r="O120" i="7"/>
  <c r="BW15" i="9"/>
  <c r="BO15" i="9"/>
  <c r="R119" i="7"/>
  <c r="BS8" i="9"/>
  <c r="BO8" i="9"/>
  <c r="BP9" i="9"/>
  <c r="BL9" i="9"/>
  <c r="BQ6" i="9"/>
  <c r="BM6" i="9"/>
  <c r="BI14" i="9"/>
  <c r="L118" i="7"/>
  <c r="BI5" i="9"/>
  <c r="M5" i="7"/>
  <c r="L109" i="7" s="1"/>
  <c r="BI9" i="9"/>
  <c r="M9" i="7"/>
  <c r="BF10" i="9"/>
  <c r="J10" i="7"/>
  <c r="I114" i="7" s="1"/>
  <c r="BW14" i="9"/>
  <c r="BO14" i="9"/>
  <c r="R118" i="7"/>
  <c r="BO7" i="9"/>
  <c r="BF7" i="9"/>
  <c r="J7" i="7"/>
  <c r="I111" i="7" s="1"/>
  <c r="BJ8" i="9"/>
  <c r="N8" i="7"/>
  <c r="M112" i="7" s="1"/>
  <c r="BL14" i="9"/>
  <c r="O118" i="7"/>
  <c r="BP10" i="9"/>
  <c r="BL10" i="9"/>
  <c r="BI13" i="9"/>
  <c r="BF15" i="9"/>
  <c r="I119" i="7"/>
  <c r="BF12" i="9"/>
  <c r="J12" i="7"/>
  <c r="I116" i="7" s="1"/>
  <c r="BF8" i="9"/>
  <c r="J8" i="7"/>
  <c r="I112" i="7" s="1"/>
  <c r="BI15" i="9"/>
  <c r="L119" i="7"/>
  <c r="BL13" i="9"/>
  <c r="BP5" i="9"/>
  <c r="BL5" i="9"/>
  <c r="K112" i="7"/>
  <c r="AG8" i="8"/>
  <c r="BE8" i="8" s="1"/>
  <c r="BP7" i="9"/>
  <c r="BL7" i="9"/>
  <c r="BF9" i="9"/>
  <c r="J9" i="7"/>
  <c r="AG13" i="8"/>
  <c r="BE13" i="8" s="1"/>
  <c r="BI16" i="9"/>
  <c r="L120" i="7"/>
  <c r="BI10" i="9"/>
  <c r="M10" i="7"/>
  <c r="L114" i="7" s="1"/>
  <c r="BJ6" i="9"/>
  <c r="N6" i="7"/>
  <c r="M110" i="7" s="1"/>
  <c r="BI11" i="9"/>
  <c r="M11" i="7"/>
  <c r="L115" i="7" s="1"/>
  <c r="BI7" i="9"/>
  <c r="M7" i="7"/>
  <c r="L111" i="7" s="1"/>
  <c r="BF11" i="9"/>
  <c r="J11" i="7"/>
  <c r="I115" i="7" s="1"/>
  <c r="BS10" i="9"/>
  <c r="BO10" i="9"/>
  <c r="BO11" i="9"/>
  <c r="AJ18" i="8"/>
  <c r="BH18" i="8" s="1"/>
  <c r="I121" i="7"/>
  <c r="BF17" i="9"/>
  <c r="CJ20" i="9"/>
  <c r="L121" i="7"/>
  <c r="BI17" i="9"/>
  <c r="I122" i="7"/>
  <c r="BF18" i="9"/>
  <c r="CJ19" i="9"/>
  <c r="CD20" i="9"/>
  <c r="CG20" i="9"/>
  <c r="P17" i="7"/>
  <c r="BM18" i="9"/>
  <c r="AK19" i="7"/>
  <c r="AJ123" i="7" s="1"/>
  <c r="P18" i="7"/>
  <c r="O122" i="7" s="1"/>
  <c r="AH19" i="7"/>
  <c r="AG123" i="7" s="1"/>
  <c r="BW18" i="9"/>
  <c r="S18" i="7"/>
  <c r="R122" i="7" s="1"/>
  <c r="S17" i="7"/>
  <c r="O116" i="7"/>
  <c r="N112" i="7"/>
  <c r="N109" i="7"/>
  <c r="AC124" i="7"/>
  <c r="N114" i="7"/>
  <c r="N113" i="7"/>
  <c r="AL123" i="7"/>
  <c r="N115" i="7"/>
  <c r="N111" i="7"/>
  <c r="O25" i="7"/>
  <c r="O24" i="7"/>
  <c r="O26" i="7"/>
  <c r="BL21" i="1"/>
  <c r="P10" i="7"/>
  <c r="AR32" i="5"/>
  <c r="AN26" i="5"/>
  <c r="P9" i="7"/>
  <c r="AR31" i="5"/>
  <c r="AE20" i="7"/>
  <c r="AN19" i="7"/>
  <c r="P7" i="7"/>
  <c r="AN29" i="5"/>
  <c r="P8" i="7"/>
  <c r="AN30" i="5"/>
  <c r="N110" i="7"/>
  <c r="AJ6" i="8"/>
  <c r="BH6" i="8" s="1"/>
  <c r="P11" i="7"/>
  <c r="AR33" i="5"/>
  <c r="P5" i="7"/>
  <c r="AN27" i="5"/>
  <c r="P6" i="7"/>
  <c r="O27" i="7"/>
  <c r="AS34" i="5"/>
  <c r="O35" i="7"/>
  <c r="AJ5" i="8"/>
  <c r="BH5" i="8" s="1"/>
  <c r="AJ14" i="8"/>
  <c r="BH14" i="8" s="1"/>
  <c r="AJ15" i="8"/>
  <c r="BH15" i="8" s="1"/>
  <c r="O37" i="7"/>
  <c r="Q12" i="7"/>
  <c r="BM17" i="9"/>
  <c r="F26" i="7"/>
  <c r="AJ13" i="8"/>
  <c r="BH13" i="8" s="1"/>
  <c r="AE9" i="8"/>
  <c r="BC9" i="8" s="1"/>
  <c r="U37" i="5"/>
  <c r="AR37" i="5"/>
  <c r="AJ7" i="8"/>
  <c r="BH7" i="8" s="1"/>
  <c r="U36" i="5"/>
  <c r="AR36" i="5"/>
  <c r="AJ8" i="8"/>
  <c r="BH8" i="8" s="1"/>
  <c r="V38" i="5"/>
  <c r="AT38" i="5" s="1"/>
  <c r="AS38" i="5"/>
  <c r="R37" i="5"/>
  <c r="AP37" i="5" s="1"/>
  <c r="AO37" i="5"/>
  <c r="AE11" i="8"/>
  <c r="BC11" i="8" s="1"/>
  <c r="R36" i="5"/>
  <c r="AP36" i="5" s="1"/>
  <c r="AO36" i="5"/>
  <c r="AN28" i="5"/>
  <c r="BA5" i="8"/>
  <c r="AX5" i="8"/>
  <c r="BH12" i="8"/>
  <c r="BB6" i="8"/>
  <c r="BE11" i="8"/>
  <c r="BD12" i="8"/>
  <c r="BH10" i="8"/>
  <c r="BA12" i="8"/>
  <c r="BD10" i="8"/>
  <c r="BE9" i="8"/>
  <c r="AX6" i="8"/>
  <c r="H15" i="8"/>
  <c r="AC15" i="8" s="1"/>
  <c r="BA15" i="8" s="1"/>
  <c r="J37" i="7"/>
  <c r="AE18" i="8"/>
  <c r="BC18" i="8" s="1"/>
  <c r="AY18" i="8"/>
  <c r="I37" i="7"/>
  <c r="AD18" i="8"/>
  <c r="BB18" i="8" s="1"/>
  <c r="Y18" i="8"/>
  <c r="AW18" i="8" s="1"/>
  <c r="AX18" i="8"/>
  <c r="J31" i="7"/>
  <c r="AE12" i="8"/>
  <c r="BC12" i="8" s="1"/>
  <c r="L31" i="7"/>
  <c r="AG12" i="8"/>
  <c r="BE12" i="8" s="1"/>
  <c r="I29" i="7"/>
  <c r="AD10" i="8"/>
  <c r="J29" i="7"/>
  <c r="AE10" i="8"/>
  <c r="BC10" i="8" s="1"/>
  <c r="P29" i="7"/>
  <c r="AK10" i="8"/>
  <c r="BI10" i="8" s="1"/>
  <c r="L29" i="7"/>
  <c r="AG10" i="8"/>
  <c r="BE10" i="8" s="1"/>
  <c r="L24" i="7"/>
  <c r="AG5" i="8"/>
  <c r="I24" i="7"/>
  <c r="AD5" i="8"/>
  <c r="BB5" i="8" s="1"/>
  <c r="J24" i="7"/>
  <c r="AE5" i="8"/>
  <c r="BC5" i="8" s="1"/>
  <c r="L35" i="7"/>
  <c r="M25" i="7"/>
  <c r="I30" i="7"/>
  <c r="I26" i="7"/>
  <c r="J30" i="7"/>
  <c r="I28" i="7"/>
  <c r="L28" i="7"/>
  <c r="I27" i="7"/>
  <c r="J28" i="7"/>
  <c r="L30" i="7"/>
  <c r="L26" i="7"/>
  <c r="L34" i="7"/>
  <c r="L36" i="7"/>
  <c r="I33" i="7"/>
  <c r="L32" i="7"/>
  <c r="I36" i="7"/>
  <c r="L33" i="7"/>
  <c r="J36" i="7"/>
  <c r="I34" i="7"/>
  <c r="J32" i="7"/>
  <c r="J33" i="7"/>
  <c r="I32" i="7"/>
  <c r="J34" i="7"/>
  <c r="AN9" i="8"/>
  <c r="AK11" i="8"/>
  <c r="AH9" i="8"/>
  <c r="BF9" i="8" s="1"/>
  <c r="AN11" i="8"/>
  <c r="AK9" i="8"/>
  <c r="AH11" i="8"/>
  <c r="BF11" i="8" s="1"/>
  <c r="I28" i="1"/>
  <c r="H42" i="1"/>
  <c r="K71" i="7"/>
  <c r="F12" i="8"/>
  <c r="C12" i="8"/>
  <c r="E12" i="8"/>
  <c r="E11" i="8"/>
  <c r="C18" i="8"/>
  <c r="D12" i="8"/>
  <c r="E13" i="8"/>
  <c r="I14" i="8"/>
  <c r="I13" i="8"/>
  <c r="E9" i="8"/>
  <c r="C15" i="8"/>
  <c r="C17" i="8"/>
  <c r="G15" i="8"/>
  <c r="F15" i="8"/>
  <c r="E17" i="8"/>
  <c r="E15" i="8"/>
  <c r="M18" i="8"/>
  <c r="F11" i="8"/>
  <c r="I17" i="8"/>
  <c r="J13" i="8"/>
  <c r="I113" i="7" l="1"/>
  <c r="J129" i="7"/>
  <c r="J134" i="7" s="1"/>
  <c r="O117" i="7"/>
  <c r="P130" i="7"/>
  <c r="P135" i="7" s="1"/>
  <c r="R117" i="7"/>
  <c r="S130" i="7"/>
  <c r="S135" i="7" s="1"/>
  <c r="L117" i="7"/>
  <c r="M130" i="7"/>
  <c r="M135" i="7" s="1"/>
  <c r="L113" i="7"/>
  <c r="M129" i="7"/>
  <c r="M134" i="7" s="1"/>
  <c r="P129" i="7"/>
  <c r="P134" i="7" s="1"/>
  <c r="O121" i="7"/>
  <c r="P131" i="7"/>
  <c r="P136" i="7" s="1"/>
  <c r="R121" i="7"/>
  <c r="S131" i="7"/>
  <c r="S136" i="7" s="1"/>
  <c r="BT12" i="9"/>
  <c r="CH19" i="9"/>
  <c r="X31" i="8"/>
  <c r="M27" i="7"/>
  <c r="AH8" i="8"/>
  <c r="BF8" i="8" s="1"/>
  <c r="X32" i="8"/>
  <c r="BQ8" i="9"/>
  <c r="BW12" i="9"/>
  <c r="BT14" i="9"/>
  <c r="X30" i="8"/>
  <c r="AB31" i="8"/>
  <c r="AE8" i="8"/>
  <c r="BC8" i="8" s="1"/>
  <c r="AI8" i="8"/>
  <c r="BG8" i="8" s="1"/>
  <c r="AI6" i="8"/>
  <c r="BG6" i="8" s="1"/>
  <c r="AN13" i="8"/>
  <c r="BL13" i="8" s="1"/>
  <c r="W120" i="7"/>
  <c r="AK13" i="8"/>
  <c r="BI13" i="8" s="1"/>
  <c r="J26" i="7"/>
  <c r="BX15" i="9"/>
  <c r="BT5" i="9"/>
  <c r="BW5" i="9"/>
  <c r="AH7" i="8"/>
  <c r="BF7" i="8" s="1"/>
  <c r="BJ5" i="9"/>
  <c r="N5" i="7"/>
  <c r="M109" i="7" s="1"/>
  <c r="BM15" i="9"/>
  <c r="P119" i="7"/>
  <c r="BR6" i="9"/>
  <c r="BN6" i="9"/>
  <c r="BS9" i="9"/>
  <c r="BJ12" i="9"/>
  <c r="N12" i="7"/>
  <c r="M116" i="7" s="1"/>
  <c r="BC4" i="9"/>
  <c r="G4" i="7"/>
  <c r="BJ13" i="9"/>
  <c r="BQ5" i="9"/>
  <c r="BM5" i="9"/>
  <c r="BS11" i="9"/>
  <c r="AZ4" i="9"/>
  <c r="D4" i="7"/>
  <c r="BJ16" i="9"/>
  <c r="M120" i="7"/>
  <c r="BQ11" i="9"/>
  <c r="BM11" i="9"/>
  <c r="BR8" i="9"/>
  <c r="BN8" i="9"/>
  <c r="BS15" i="9"/>
  <c r="V119" i="7"/>
  <c r="BQ9" i="9"/>
  <c r="BM9" i="9"/>
  <c r="BQ12" i="9"/>
  <c r="BM12" i="9"/>
  <c r="BJ10" i="9"/>
  <c r="N10" i="7"/>
  <c r="M114" i="7" s="1"/>
  <c r="BJ9" i="9"/>
  <c r="N9" i="7"/>
  <c r="BQ10" i="9"/>
  <c r="BM10" i="9"/>
  <c r="BW8" i="9"/>
  <c r="BP16" i="9"/>
  <c r="S120" i="7"/>
  <c r="BM14" i="9"/>
  <c r="P118" i="7"/>
  <c r="BT8" i="9"/>
  <c r="BF16" i="9"/>
  <c r="I120" i="7"/>
  <c r="BP13" i="9"/>
  <c r="BS7" i="9"/>
  <c r="BS16" i="9"/>
  <c r="V120" i="7"/>
  <c r="BJ7" i="9"/>
  <c r="N7" i="7"/>
  <c r="M111" i="7" s="1"/>
  <c r="BM16" i="9"/>
  <c r="P120" i="7"/>
  <c r="J35" i="7"/>
  <c r="BP15" i="9"/>
  <c r="S119" i="7"/>
  <c r="BQ7" i="9"/>
  <c r="BM7" i="9"/>
  <c r="BP14" i="9"/>
  <c r="S118" i="7"/>
  <c r="BJ11" i="9"/>
  <c r="N11" i="7"/>
  <c r="M115" i="7" s="1"/>
  <c r="BJ15" i="9"/>
  <c r="M119" i="7"/>
  <c r="BM13" i="9"/>
  <c r="BW10" i="9"/>
  <c r="BW6" i="9"/>
  <c r="BJ14" i="9"/>
  <c r="M118" i="7"/>
  <c r="AH13" i="8"/>
  <c r="BF13" i="8" s="1"/>
  <c r="BT10" i="9"/>
  <c r="BS14" i="9"/>
  <c r="V118" i="7"/>
  <c r="BT6" i="9"/>
  <c r="BS13" i="9"/>
  <c r="AK17" i="8"/>
  <c r="BI17" i="8" s="1"/>
  <c r="T18" i="7"/>
  <c r="S122" i="7" s="1"/>
  <c r="BP18" i="9"/>
  <c r="M122" i="7"/>
  <c r="BJ18" i="9"/>
  <c r="L122" i="7"/>
  <c r="BI18" i="9"/>
  <c r="M121" i="7"/>
  <c r="BJ17" i="9"/>
  <c r="AA18" i="7"/>
  <c r="Z122" i="7" s="1"/>
  <c r="W17" i="7"/>
  <c r="BS17" i="9"/>
  <c r="T17" i="7"/>
  <c r="BP17" i="9"/>
  <c r="CK19" i="9"/>
  <c r="CK20" i="9"/>
  <c r="W18" i="7"/>
  <c r="V122" i="7" s="1"/>
  <c r="BS18" i="9"/>
  <c r="CH20" i="9"/>
  <c r="AN17" i="8"/>
  <c r="BL17" i="8" s="1"/>
  <c r="Q18" i="7"/>
  <c r="P122" i="7" s="1"/>
  <c r="Q17" i="7"/>
  <c r="AL19" i="7"/>
  <c r="AK123" i="7" s="1"/>
  <c r="CA17" i="9"/>
  <c r="AN18" i="8"/>
  <c r="BL18" i="8" s="1"/>
  <c r="P27" i="7"/>
  <c r="O111" i="7"/>
  <c r="O114" i="7"/>
  <c r="O110" i="7"/>
  <c r="AM123" i="7"/>
  <c r="O109" i="7"/>
  <c r="AD124" i="7"/>
  <c r="O115" i="7"/>
  <c r="O113" i="7"/>
  <c r="P116" i="7"/>
  <c r="BM21" i="1"/>
  <c r="AK6" i="8"/>
  <c r="BI6" i="8" s="1"/>
  <c r="P25" i="7"/>
  <c r="Q6" i="7"/>
  <c r="AF20" i="7"/>
  <c r="Q5" i="7"/>
  <c r="AO27" i="5"/>
  <c r="Q9" i="7"/>
  <c r="AS31" i="5"/>
  <c r="Q11" i="7"/>
  <c r="AS33" i="5"/>
  <c r="AO19" i="7"/>
  <c r="AO26" i="5"/>
  <c r="AT34" i="5"/>
  <c r="AK7" i="8"/>
  <c r="BI7" i="8" s="1"/>
  <c r="O112" i="7"/>
  <c r="AK8" i="8"/>
  <c r="BI8" i="8" s="1"/>
  <c r="Q7" i="7"/>
  <c r="AL7" i="8" s="1"/>
  <c r="BJ7" i="8" s="1"/>
  <c r="AO29" i="5"/>
  <c r="Q8" i="7"/>
  <c r="AO30" i="5"/>
  <c r="Q10" i="7"/>
  <c r="AS32" i="5"/>
  <c r="J27" i="7"/>
  <c r="N27" i="7"/>
  <c r="R12" i="7"/>
  <c r="N36" i="7"/>
  <c r="BN17" i="9"/>
  <c r="N37" i="7"/>
  <c r="BN18" i="9"/>
  <c r="CA15" i="9"/>
  <c r="CA14" i="9"/>
  <c r="CA16" i="9"/>
  <c r="CA18" i="9"/>
  <c r="N25" i="7"/>
  <c r="AB36" i="8"/>
  <c r="AE7" i="8"/>
  <c r="AB34" i="8"/>
  <c r="V36" i="5"/>
  <c r="AT36" i="5" s="1"/>
  <c r="AS36" i="5"/>
  <c r="AI9" i="8"/>
  <c r="BG9" i="8" s="1"/>
  <c r="V37" i="5"/>
  <c r="AT37" i="5" s="1"/>
  <c r="AS37" i="5"/>
  <c r="AI11" i="8"/>
  <c r="BG11" i="8" s="1"/>
  <c r="AO28" i="5"/>
  <c r="S37" i="7"/>
  <c r="BI11" i="8"/>
  <c r="BB10" i="8"/>
  <c r="AB35" i="8"/>
  <c r="BE5" i="8"/>
  <c r="AB37" i="8"/>
  <c r="BL9" i="8"/>
  <c r="AB30" i="8"/>
  <c r="BI9" i="8"/>
  <c r="BL11" i="8"/>
  <c r="X18" i="8"/>
  <c r="M37" i="7"/>
  <c r="AH18" i="8"/>
  <c r="BF18" i="8" s="1"/>
  <c r="P37" i="7"/>
  <c r="AK18" i="8"/>
  <c r="Z12" i="8"/>
  <c r="AX12" i="8" s="1"/>
  <c r="X12" i="8"/>
  <c r="AA12" i="8"/>
  <c r="AY12" i="8" s="1"/>
  <c r="M31" i="7"/>
  <c r="AH12" i="8"/>
  <c r="BF12" i="8" s="1"/>
  <c r="N31" i="7"/>
  <c r="AI12" i="8"/>
  <c r="BG12" i="8" s="1"/>
  <c r="Y12" i="8"/>
  <c r="AW12" i="8" s="1"/>
  <c r="S31" i="7"/>
  <c r="AN12" i="8"/>
  <c r="P31" i="7"/>
  <c r="AK12" i="8"/>
  <c r="M29" i="7"/>
  <c r="AH10" i="8"/>
  <c r="N29" i="7"/>
  <c r="AI10" i="8"/>
  <c r="BG10" i="8" s="1"/>
  <c r="S29" i="7"/>
  <c r="AN10" i="8"/>
  <c r="Q29" i="7"/>
  <c r="AL10" i="8"/>
  <c r="BJ10" i="8" s="1"/>
  <c r="T29" i="7"/>
  <c r="AO10" i="8"/>
  <c r="BM10" i="8" s="1"/>
  <c r="AE13" i="8"/>
  <c r="BC13" i="8" s="1"/>
  <c r="AD17" i="8"/>
  <c r="BB17" i="8" s="1"/>
  <c r="Z17" i="8"/>
  <c r="AX17" i="8" s="1"/>
  <c r="Z15" i="8"/>
  <c r="AX15" i="8" s="1"/>
  <c r="AD13" i="8"/>
  <c r="BB13" i="8" s="1"/>
  <c r="AA15" i="8"/>
  <c r="AY15" i="8" s="1"/>
  <c r="AD14" i="8"/>
  <c r="BB14" i="8" s="1"/>
  <c r="X17" i="8"/>
  <c r="Z9" i="8"/>
  <c r="AX9" i="8" s="1"/>
  <c r="AB15" i="8"/>
  <c r="Z13" i="8"/>
  <c r="AX13" i="8" s="1"/>
  <c r="AA11" i="8"/>
  <c r="AY11" i="8" s="1"/>
  <c r="Z11" i="8"/>
  <c r="AX11" i="8" s="1"/>
  <c r="P24" i="7"/>
  <c r="AK5" i="8"/>
  <c r="M24" i="7"/>
  <c r="AH5" i="8"/>
  <c r="BF5" i="8" s="1"/>
  <c r="M34" i="7"/>
  <c r="S35" i="7"/>
  <c r="AN16" i="8"/>
  <c r="P33" i="7"/>
  <c r="AK14" i="8"/>
  <c r="P35" i="7"/>
  <c r="AK16" i="8"/>
  <c r="M35" i="7"/>
  <c r="P34" i="7"/>
  <c r="AK15" i="8"/>
  <c r="S34" i="7"/>
  <c r="AN15" i="8"/>
  <c r="M33" i="7"/>
  <c r="AH14" i="8"/>
  <c r="X15" i="8"/>
  <c r="S33" i="7"/>
  <c r="AN14" i="8"/>
  <c r="S28" i="7"/>
  <c r="P28" i="7"/>
  <c r="M26" i="7"/>
  <c r="S30" i="7"/>
  <c r="M30" i="7"/>
  <c r="N30" i="7"/>
  <c r="M28" i="7"/>
  <c r="P26" i="7"/>
  <c r="P30" i="7"/>
  <c r="N28" i="7"/>
  <c r="M32" i="7"/>
  <c r="P32" i="7"/>
  <c r="P36" i="7"/>
  <c r="M36" i="7"/>
  <c r="S32" i="7"/>
  <c r="S36" i="7"/>
  <c r="AL9" i="8"/>
  <c r="BJ9" i="8" s="1"/>
  <c r="AL11" i="8"/>
  <c r="BJ11" i="8" s="1"/>
  <c r="AO9" i="8"/>
  <c r="BM9" i="8" s="1"/>
  <c r="AO11" i="8"/>
  <c r="BM11" i="8" s="1"/>
  <c r="C11" i="8"/>
  <c r="G18" i="8"/>
  <c r="H18" i="8"/>
  <c r="J28" i="1"/>
  <c r="I42" i="1"/>
  <c r="K73" i="7"/>
  <c r="O75" i="7"/>
  <c r="O71" i="7"/>
  <c r="C13" i="8"/>
  <c r="F17" i="8"/>
  <c r="I15" i="8"/>
  <c r="D17" i="8"/>
  <c r="F9" i="8"/>
  <c r="E16" i="8"/>
  <c r="E14" i="8"/>
  <c r="F13" i="8"/>
  <c r="C9" i="8"/>
  <c r="E10" i="8"/>
  <c r="D15" i="8"/>
  <c r="C16" i="8"/>
  <c r="Z8" i="8"/>
  <c r="AX8" i="8" s="1"/>
  <c r="N18" i="8"/>
  <c r="J15" i="8"/>
  <c r="D11" i="8"/>
  <c r="J17" i="8"/>
  <c r="G17" i="8"/>
  <c r="D16" i="8"/>
  <c r="L18" i="8"/>
  <c r="G13" i="8"/>
  <c r="P117" i="7" l="1"/>
  <c r="Q130" i="7"/>
  <c r="Q135" i="7" s="1"/>
  <c r="Q129" i="7"/>
  <c r="Q134" i="7" s="1"/>
  <c r="V121" i="7"/>
  <c r="W131" i="7"/>
  <c r="W136" i="7" s="1"/>
  <c r="P121" i="7"/>
  <c r="Q131" i="7"/>
  <c r="Q136" i="7" s="1"/>
  <c r="C108" i="7"/>
  <c r="D128" i="7"/>
  <c r="D133" i="7" s="1"/>
  <c r="F108" i="7"/>
  <c r="G128" i="7"/>
  <c r="G133" i="7" s="1"/>
  <c r="M113" i="7"/>
  <c r="N129" i="7"/>
  <c r="N134" i="7" s="1"/>
  <c r="S117" i="7"/>
  <c r="T130" i="7"/>
  <c r="T135" i="7" s="1"/>
  <c r="S121" i="7"/>
  <c r="T131" i="7"/>
  <c r="T136" i="7" s="1"/>
  <c r="V117" i="7"/>
  <c r="W130" i="7"/>
  <c r="W135" i="7" s="1"/>
  <c r="M117" i="7"/>
  <c r="N130" i="7"/>
  <c r="N135" i="7" s="1"/>
  <c r="BX12" i="9"/>
  <c r="BU12" i="9"/>
  <c r="N35" i="7"/>
  <c r="BX14" i="9"/>
  <c r="BU14" i="9"/>
  <c r="W118" i="7"/>
  <c r="AB33" i="8"/>
  <c r="AF33" i="8"/>
  <c r="BT16" i="9"/>
  <c r="X120" i="7"/>
  <c r="BX16" i="9"/>
  <c r="CA12" i="9"/>
  <c r="AF31" i="8"/>
  <c r="CA5" i="9"/>
  <c r="BU15" i="9"/>
  <c r="BX5" i="9"/>
  <c r="BU5" i="9"/>
  <c r="AO13" i="8"/>
  <c r="BM13" i="8" s="1"/>
  <c r="D23" i="7"/>
  <c r="N34" i="7"/>
  <c r="AL13" i="8"/>
  <c r="BJ13" i="8" s="1"/>
  <c r="G23" i="7"/>
  <c r="G66" i="7" s="1"/>
  <c r="N24" i="7"/>
  <c r="R29" i="7"/>
  <c r="AI7" i="8"/>
  <c r="AF32" i="8" s="1"/>
  <c r="BU8" i="9"/>
  <c r="BX10" i="9"/>
  <c r="BU10" i="9"/>
  <c r="N33" i="7"/>
  <c r="BT15" i="9"/>
  <c r="W119" i="7"/>
  <c r="AI13" i="8"/>
  <c r="BG13" i="8" s="1"/>
  <c r="BX8" i="9"/>
  <c r="BR5" i="9"/>
  <c r="BN5" i="9"/>
  <c r="BT7" i="9"/>
  <c r="CA8" i="9"/>
  <c r="BU6" i="9"/>
  <c r="BT11" i="9"/>
  <c r="BT9" i="9"/>
  <c r="BN14" i="9"/>
  <c r="Q118" i="7"/>
  <c r="BQ13" i="9"/>
  <c r="BW11" i="9"/>
  <c r="BW9" i="9"/>
  <c r="BX6" i="9"/>
  <c r="CA10" i="9"/>
  <c r="BR12" i="9"/>
  <c r="BN12" i="9"/>
  <c r="BQ16" i="9"/>
  <c r="T120" i="7"/>
  <c r="BR11" i="9"/>
  <c r="BN11" i="9"/>
  <c r="BR9" i="9"/>
  <c r="BN9" i="9"/>
  <c r="BW7" i="9"/>
  <c r="BW13" i="9"/>
  <c r="BR7" i="9"/>
  <c r="BN7" i="9"/>
  <c r="BN13" i="9"/>
  <c r="BQ15" i="9"/>
  <c r="T119" i="7"/>
  <c r="BR10" i="9"/>
  <c r="BN10" i="9"/>
  <c r="BT13" i="9"/>
  <c r="CA6" i="9"/>
  <c r="BQ14" i="9"/>
  <c r="T118" i="7"/>
  <c r="BN16" i="9"/>
  <c r="Q120" i="7"/>
  <c r="BA4" i="9"/>
  <c r="E4" i="7"/>
  <c r="BG4" i="9"/>
  <c r="K4" i="7"/>
  <c r="BD4" i="9"/>
  <c r="H4" i="7"/>
  <c r="BN15" i="9"/>
  <c r="Q119" i="7"/>
  <c r="T37" i="7"/>
  <c r="T80" i="7" s="1"/>
  <c r="AB18" i="7"/>
  <c r="AA122" i="7" s="1"/>
  <c r="AO18" i="8"/>
  <c r="BM18" i="8" s="1"/>
  <c r="CL20" i="9"/>
  <c r="U18" i="7"/>
  <c r="T122" i="7" s="1"/>
  <c r="BQ18" i="9"/>
  <c r="AA17" i="7"/>
  <c r="BW17" i="9"/>
  <c r="CL19" i="9"/>
  <c r="Y18" i="7"/>
  <c r="X122" i="7" s="1"/>
  <c r="BU18" i="9"/>
  <c r="X18" i="7"/>
  <c r="W122" i="7" s="1"/>
  <c r="BT18" i="9"/>
  <c r="AO17" i="8"/>
  <c r="BM17" i="8" s="1"/>
  <c r="U17" i="7"/>
  <c r="BQ17" i="9"/>
  <c r="X17" i="7"/>
  <c r="BT17" i="9"/>
  <c r="AL18" i="8"/>
  <c r="BJ18" i="8" s="1"/>
  <c r="R18" i="7"/>
  <c r="Q122" i="7" s="1"/>
  <c r="AL17" i="8"/>
  <c r="BJ17" i="8" s="1"/>
  <c r="Q37" i="7"/>
  <c r="R17" i="7"/>
  <c r="AE124" i="7"/>
  <c r="Q27" i="7"/>
  <c r="P111" i="7"/>
  <c r="P115" i="7"/>
  <c r="Z120" i="7"/>
  <c r="P114" i="7"/>
  <c r="P113" i="7"/>
  <c r="Q116" i="7"/>
  <c r="AN123" i="7"/>
  <c r="P110" i="7"/>
  <c r="P109" i="7"/>
  <c r="BN21" i="1"/>
  <c r="Q25" i="7"/>
  <c r="AP19" i="7"/>
  <c r="R9" i="7"/>
  <c r="AT31" i="5"/>
  <c r="R10" i="7"/>
  <c r="AT32" i="5"/>
  <c r="P112" i="7"/>
  <c r="AL8" i="8"/>
  <c r="BJ8" i="8" s="1"/>
  <c r="S12" i="7"/>
  <c r="R11" i="7"/>
  <c r="AT33" i="5"/>
  <c r="R5" i="7"/>
  <c r="AP27" i="5"/>
  <c r="R8" i="7"/>
  <c r="AP30" i="5"/>
  <c r="AG20" i="7"/>
  <c r="AP26" i="5"/>
  <c r="R7" i="7"/>
  <c r="AP29" i="5"/>
  <c r="R6" i="7"/>
  <c r="AM10" i="8"/>
  <c r="BK10" i="8" s="1"/>
  <c r="Y4" i="8"/>
  <c r="AW4" i="8" s="1"/>
  <c r="AI5" i="8"/>
  <c r="BG5" i="8" s="1"/>
  <c r="AF34" i="8"/>
  <c r="BI12" i="7"/>
  <c r="AI14" i="8"/>
  <c r="BG14" i="8" s="1"/>
  <c r="BY18" i="9"/>
  <c r="CE18" i="9"/>
  <c r="CE16" i="9"/>
  <c r="CE14" i="9"/>
  <c r="CE17" i="9"/>
  <c r="CE15" i="9"/>
  <c r="CB15" i="9"/>
  <c r="N32" i="7"/>
  <c r="N75" i="7" s="1"/>
  <c r="N26" i="7"/>
  <c r="AF36" i="8"/>
  <c r="BC7" i="8"/>
  <c r="AB32" i="8"/>
  <c r="AM11" i="8"/>
  <c r="BK11" i="8" s="1"/>
  <c r="AB4" i="8"/>
  <c r="AZ4" i="8" s="1"/>
  <c r="AL6" i="8"/>
  <c r="BJ6" i="8" s="1"/>
  <c r="AM9" i="8"/>
  <c r="BK9" i="8" s="1"/>
  <c r="AP28" i="5"/>
  <c r="BF10" i="8"/>
  <c r="AF35" i="8"/>
  <c r="AV12" i="8"/>
  <c r="X37" i="8"/>
  <c r="BI14" i="8"/>
  <c r="BF14" i="8"/>
  <c r="BL16" i="8"/>
  <c r="AV18" i="8"/>
  <c r="X43" i="8"/>
  <c r="BI18" i="8"/>
  <c r="AV15" i="8"/>
  <c r="BI12" i="8"/>
  <c r="BI16" i="8"/>
  <c r="BL15" i="8"/>
  <c r="AZ15" i="8"/>
  <c r="BL12" i="8"/>
  <c r="AF37" i="8"/>
  <c r="BI5" i="8"/>
  <c r="BI15" i="8"/>
  <c r="AV17" i="8"/>
  <c r="BL14" i="8"/>
  <c r="BL10" i="8"/>
  <c r="AC18" i="8"/>
  <c r="BA18" i="8" s="1"/>
  <c r="AB18" i="8"/>
  <c r="AG18" i="8"/>
  <c r="AI18" i="8"/>
  <c r="BG18" i="8" s="1"/>
  <c r="R31" i="7"/>
  <c r="AM12" i="8"/>
  <c r="BK12" i="8" s="1"/>
  <c r="Q31" i="7"/>
  <c r="AL12" i="8"/>
  <c r="BJ12" i="8" s="1"/>
  <c r="T31" i="7"/>
  <c r="AO12" i="8"/>
  <c r="BM12" i="8" s="1"/>
  <c r="Z10" i="8"/>
  <c r="AX10" i="8" s="1"/>
  <c r="U29" i="7"/>
  <c r="AP10" i="8"/>
  <c r="BN10" i="8" s="1"/>
  <c r="AE15" i="8"/>
  <c r="BC15" i="8" s="1"/>
  <c r="AA17" i="8"/>
  <c r="AY17" i="8" s="1"/>
  <c r="Y17" i="8"/>
  <c r="AW17" i="8" s="1"/>
  <c r="AD15" i="8"/>
  <c r="BB15" i="8" s="1"/>
  <c r="AB13" i="8"/>
  <c r="X9" i="8"/>
  <c r="AA13" i="8"/>
  <c r="AY13" i="8" s="1"/>
  <c r="Y16" i="8"/>
  <c r="AW16" i="8" s="1"/>
  <c r="Z14" i="8"/>
  <c r="AX14" i="8" s="1"/>
  <c r="AB17" i="8"/>
  <c r="X16" i="8"/>
  <c r="AA9" i="8"/>
  <c r="AY9" i="8" s="1"/>
  <c r="Y11" i="8"/>
  <c r="AW11" i="8" s="1"/>
  <c r="Q24" i="7"/>
  <c r="AL5" i="8"/>
  <c r="BJ5" i="8" s="1"/>
  <c r="X11" i="8"/>
  <c r="T33" i="7"/>
  <c r="AO14" i="8"/>
  <c r="BM14" i="8" s="1"/>
  <c r="T34" i="7"/>
  <c r="AO15" i="8"/>
  <c r="BM15" i="8" s="1"/>
  <c r="Q33" i="7"/>
  <c r="AL14" i="8"/>
  <c r="BJ14" i="8" s="1"/>
  <c r="Q34" i="7"/>
  <c r="AL15" i="8"/>
  <c r="BJ15" i="8" s="1"/>
  <c r="T35" i="7"/>
  <c r="AO16" i="8"/>
  <c r="BM16" i="8" s="1"/>
  <c r="Q35" i="7"/>
  <c r="AL16" i="8"/>
  <c r="BJ16" i="8" s="1"/>
  <c r="AE17" i="8"/>
  <c r="BC17" i="8" s="1"/>
  <c r="Y15" i="8"/>
  <c r="AW15" i="8" s="1"/>
  <c r="Z16" i="8"/>
  <c r="AX16" i="8" s="1"/>
  <c r="X13" i="8"/>
  <c r="Q26" i="7"/>
  <c r="R30" i="7"/>
  <c r="T30" i="7"/>
  <c r="T28" i="7"/>
  <c r="Q28" i="7"/>
  <c r="R28" i="7"/>
  <c r="Q30" i="7"/>
  <c r="T32" i="7"/>
  <c r="Q36" i="7"/>
  <c r="T36" i="7"/>
  <c r="Q32" i="7"/>
  <c r="AP11" i="8"/>
  <c r="BN11" i="8" s="1"/>
  <c r="AP9" i="8"/>
  <c r="BN9" i="8" s="1"/>
  <c r="G67" i="7"/>
  <c r="K28" i="1"/>
  <c r="J42" i="1"/>
  <c r="S79" i="7"/>
  <c r="S80" i="7"/>
  <c r="M75" i="7"/>
  <c r="S71" i="7"/>
  <c r="I73" i="7"/>
  <c r="J73" i="7"/>
  <c r="M71" i="7"/>
  <c r="N71" i="7"/>
  <c r="I71" i="7"/>
  <c r="J71" i="7"/>
  <c r="O73" i="7"/>
  <c r="H67" i="7"/>
  <c r="K67" i="7"/>
  <c r="E67" i="7"/>
  <c r="F67" i="7"/>
  <c r="G68" i="7"/>
  <c r="G69" i="7"/>
  <c r="P71" i="7"/>
  <c r="O76" i="7"/>
  <c r="L71" i="7"/>
  <c r="S75" i="7"/>
  <c r="O74" i="7"/>
  <c r="D13" i="8"/>
  <c r="AH15" i="8"/>
  <c r="BF15" i="8" s="1"/>
  <c r="C14" i="8"/>
  <c r="J14" i="8"/>
  <c r="F14" i="8"/>
  <c r="D9" i="8"/>
  <c r="F10" i="8"/>
  <c r="X8" i="8"/>
  <c r="AA8" i="8"/>
  <c r="AY8" i="8" s="1"/>
  <c r="C10" i="8"/>
  <c r="I16" i="8"/>
  <c r="F16" i="8"/>
  <c r="N17" i="8"/>
  <c r="H17" i="8"/>
  <c r="H13" i="8"/>
  <c r="D108" i="7" l="1"/>
  <c r="E128" i="7"/>
  <c r="E133" i="7" s="1"/>
  <c r="W121" i="7"/>
  <c r="X131" i="7"/>
  <c r="X136" i="7" s="1"/>
  <c r="Q121" i="7"/>
  <c r="R131" i="7"/>
  <c r="R136" i="7" s="1"/>
  <c r="T121" i="7"/>
  <c r="U131" i="7"/>
  <c r="U136" i="7" s="1"/>
  <c r="Z121" i="7"/>
  <c r="AA131" i="7"/>
  <c r="AA136" i="7" s="1"/>
  <c r="R129" i="7"/>
  <c r="R134" i="7" s="1"/>
  <c r="G108" i="7"/>
  <c r="H128" i="7"/>
  <c r="H133" i="7" s="1"/>
  <c r="Q117" i="7"/>
  <c r="R130" i="7"/>
  <c r="R135" i="7" s="1"/>
  <c r="J108" i="7"/>
  <c r="K128" i="7"/>
  <c r="K133" i="7" s="1"/>
  <c r="W117" i="7"/>
  <c r="X130" i="7"/>
  <c r="X135" i="7" s="1"/>
  <c r="T117" i="7"/>
  <c r="U130" i="7"/>
  <c r="U135" i="7" s="1"/>
  <c r="BY12" i="9"/>
  <c r="BV12" i="9"/>
  <c r="CB12" i="9"/>
  <c r="CB17" i="9"/>
  <c r="BY16" i="9"/>
  <c r="CB14" i="9"/>
  <c r="Y120" i="7"/>
  <c r="BY14" i="9"/>
  <c r="BV14" i="9"/>
  <c r="X118" i="7"/>
  <c r="BU16" i="9"/>
  <c r="CE5" i="9"/>
  <c r="X119" i="7"/>
  <c r="BY5" i="9"/>
  <c r="AA120" i="7"/>
  <c r="CB16" i="9"/>
  <c r="BV15" i="9"/>
  <c r="BY15" i="9"/>
  <c r="BV5" i="9"/>
  <c r="CE12" i="9"/>
  <c r="CB5" i="9"/>
  <c r="BG7" i="8"/>
  <c r="CB10" i="9"/>
  <c r="CE10" i="9"/>
  <c r="BY8" i="9"/>
  <c r="BV8" i="9"/>
  <c r="E23" i="7"/>
  <c r="E66" i="7" s="1"/>
  <c r="AP13" i="8"/>
  <c r="BN13" i="8" s="1"/>
  <c r="AC4" i="8"/>
  <c r="BA4" i="8" s="1"/>
  <c r="AF4" i="8"/>
  <c r="BD4" i="8" s="1"/>
  <c r="BD22" i="8" s="1"/>
  <c r="BY10" i="9"/>
  <c r="AM13" i="8"/>
  <c r="BK13" i="8" s="1"/>
  <c r="BV10" i="9"/>
  <c r="R33" i="7"/>
  <c r="AF38" i="8"/>
  <c r="CB8" i="9"/>
  <c r="CE8" i="9"/>
  <c r="R34" i="7"/>
  <c r="R35" i="7"/>
  <c r="BU11" i="9"/>
  <c r="BX11" i="9"/>
  <c r="CA11" i="9"/>
  <c r="BR15" i="9"/>
  <c r="U119" i="7"/>
  <c r="CE6" i="9"/>
  <c r="BV6" i="9"/>
  <c r="BR13" i="9"/>
  <c r="BY6" i="9"/>
  <c r="BU13" i="9"/>
  <c r="BX13" i="9"/>
  <c r="BR16" i="9"/>
  <c r="U120" i="7"/>
  <c r="BB4" i="9"/>
  <c r="F4" i="7"/>
  <c r="CA13" i="9"/>
  <c r="BX7" i="9"/>
  <c r="BE4" i="9"/>
  <c r="I4" i="7"/>
  <c r="BR14" i="9"/>
  <c r="U118" i="7"/>
  <c r="BU7" i="9"/>
  <c r="BH4" i="9"/>
  <c r="L4" i="7"/>
  <c r="CA7" i="9"/>
  <c r="BU9" i="9"/>
  <c r="CA9" i="9"/>
  <c r="S4" i="7"/>
  <c r="BK4" i="9"/>
  <c r="O4" i="7"/>
  <c r="CB6" i="9"/>
  <c r="BX9" i="9"/>
  <c r="AP17" i="8"/>
  <c r="BN17" i="8" s="1"/>
  <c r="AM17" i="8"/>
  <c r="BK17" i="8" s="1"/>
  <c r="AP18" i="8"/>
  <c r="BN18" i="8" s="1"/>
  <c r="U37" i="7"/>
  <c r="U80" i="7" s="1"/>
  <c r="BX18" i="9"/>
  <c r="AC17" i="7"/>
  <c r="BY17" i="9"/>
  <c r="BZ17" i="9"/>
  <c r="V18" i="7"/>
  <c r="BR18" i="9"/>
  <c r="AM18" i="8"/>
  <c r="BK18" i="8" s="1"/>
  <c r="AB17" i="7"/>
  <c r="BX17" i="9"/>
  <c r="Z18" i="7"/>
  <c r="Y122" i="7" s="1"/>
  <c r="BV18" i="9"/>
  <c r="AC18" i="7"/>
  <c r="AB122" i="7" s="1"/>
  <c r="V17" i="7"/>
  <c r="BR17" i="9"/>
  <c r="Y17" i="7"/>
  <c r="BU17" i="9"/>
  <c r="R37" i="7"/>
  <c r="Q115" i="7"/>
  <c r="AO123" i="7"/>
  <c r="Q111" i="7"/>
  <c r="R116" i="7"/>
  <c r="Q109" i="7"/>
  <c r="Q110" i="7"/>
  <c r="AF124" i="7"/>
  <c r="Q114" i="7"/>
  <c r="R27" i="7"/>
  <c r="Z117" i="7"/>
  <c r="Q113" i="7"/>
  <c r="AM7" i="8"/>
  <c r="BK7" i="8" s="1"/>
  <c r="BO21" i="1"/>
  <c r="AQ10" i="8"/>
  <c r="BO10" i="8" s="1"/>
  <c r="BH10" i="7"/>
  <c r="BI10" i="7"/>
  <c r="V29" i="7"/>
  <c r="R24" i="7"/>
  <c r="R25" i="7"/>
  <c r="AQ26" i="5"/>
  <c r="S5" i="7"/>
  <c r="AQ27" i="5"/>
  <c r="S11" i="7"/>
  <c r="T12" i="7"/>
  <c r="S6" i="7"/>
  <c r="AM6" i="8"/>
  <c r="BK6" i="8" s="1"/>
  <c r="Q112" i="7"/>
  <c r="AM8" i="8"/>
  <c r="S7" i="7"/>
  <c r="AQ29" i="5"/>
  <c r="S8" i="7"/>
  <c r="AQ30" i="5"/>
  <c r="S9" i="7"/>
  <c r="AH20" i="7"/>
  <c r="S10" i="7"/>
  <c r="AM16" i="8"/>
  <c r="BK16" i="8" s="1"/>
  <c r="AM15" i="8"/>
  <c r="BK15" i="8" s="1"/>
  <c r="AF39" i="8"/>
  <c r="AJ35" i="8"/>
  <c r="CI18" i="9"/>
  <c r="CI17" i="9"/>
  <c r="H23" i="7"/>
  <c r="H66" i="7" s="1"/>
  <c r="AM14" i="8"/>
  <c r="BK14" i="8" s="1"/>
  <c r="CI15" i="9"/>
  <c r="CI16" i="9"/>
  <c r="CI14" i="9"/>
  <c r="AM5" i="8"/>
  <c r="BK5" i="8" s="1"/>
  <c r="AF30" i="8"/>
  <c r="CC12" i="9"/>
  <c r="K23" i="7"/>
  <c r="K66" i="7" s="1"/>
  <c r="CF15" i="9"/>
  <c r="CF17" i="9"/>
  <c r="CF14" i="9"/>
  <c r="BZ16" i="9"/>
  <c r="BZ18" i="9"/>
  <c r="R36" i="7"/>
  <c r="AJ36" i="8"/>
  <c r="R32" i="7"/>
  <c r="R75" i="7" s="1"/>
  <c r="R26" i="7"/>
  <c r="BH12" i="7"/>
  <c r="Z4" i="8"/>
  <c r="AX4" i="8" s="1"/>
  <c r="AX22" i="8" s="1"/>
  <c r="BI11" i="7"/>
  <c r="BH11" i="7"/>
  <c r="AQ11" i="8"/>
  <c r="BO11" i="8" s="1"/>
  <c r="AQ9" i="8"/>
  <c r="BO9" i="8" s="1"/>
  <c r="AJ34" i="8"/>
  <c r="BH9" i="7"/>
  <c r="BI9" i="7"/>
  <c r="AQ28" i="5"/>
  <c r="AV16" i="8"/>
  <c r="AB40" i="8"/>
  <c r="AJ37" i="8"/>
  <c r="AZ17" i="8"/>
  <c r="X42" i="8"/>
  <c r="BE18" i="8"/>
  <c r="AF43" i="8"/>
  <c r="AV11" i="8"/>
  <c r="X36" i="8"/>
  <c r="X40" i="8"/>
  <c r="AV13" i="8"/>
  <c r="AZ18" i="8"/>
  <c r="AB43" i="8"/>
  <c r="AV8" i="8"/>
  <c r="AV9" i="8"/>
  <c r="AZ13" i="8"/>
  <c r="V31" i="7"/>
  <c r="AQ12" i="8"/>
  <c r="BO12" i="8" s="1"/>
  <c r="U31" i="7"/>
  <c r="AP12" i="8"/>
  <c r="X10" i="8"/>
  <c r="AA10" i="8"/>
  <c r="AY10" i="8" s="1"/>
  <c r="Y9" i="8"/>
  <c r="AW9" i="8" s="1"/>
  <c r="AD16" i="8"/>
  <c r="BB16" i="8" s="1"/>
  <c r="AA16" i="8"/>
  <c r="AY16" i="8" s="1"/>
  <c r="AC13" i="8"/>
  <c r="AB38" i="8" s="1"/>
  <c r="AC17" i="8"/>
  <c r="BA17" i="8" s="1"/>
  <c r="U35" i="7"/>
  <c r="AP16" i="8"/>
  <c r="Y13" i="8"/>
  <c r="AW13" i="8" s="1"/>
  <c r="U33" i="7"/>
  <c r="AP14" i="8"/>
  <c r="AI17" i="8"/>
  <c r="BG17" i="8" s="1"/>
  <c r="AA14" i="8"/>
  <c r="AY14" i="8" s="1"/>
  <c r="AE14" i="8"/>
  <c r="BC14" i="8" s="1"/>
  <c r="X14" i="8"/>
  <c r="U34" i="7"/>
  <c r="AP15" i="8"/>
  <c r="BN15" i="8" s="1"/>
  <c r="V28" i="7"/>
  <c r="U30" i="7"/>
  <c r="V30" i="7"/>
  <c r="U28" i="7"/>
  <c r="U36" i="7"/>
  <c r="U32" i="7"/>
  <c r="L73" i="7"/>
  <c r="T77" i="7"/>
  <c r="L28" i="1"/>
  <c r="K42" i="1"/>
  <c r="T79" i="7"/>
  <c r="Q79" i="7"/>
  <c r="Q80" i="7"/>
  <c r="S77" i="7"/>
  <c r="M74" i="7"/>
  <c r="N74" i="7"/>
  <c r="Q75" i="7"/>
  <c r="R71" i="7"/>
  <c r="S73" i="7"/>
  <c r="M73" i="7"/>
  <c r="N73" i="7"/>
  <c r="P73" i="7"/>
  <c r="T71" i="7"/>
  <c r="O67" i="7"/>
  <c r="L67" i="7"/>
  <c r="I67" i="7"/>
  <c r="J67" i="7"/>
  <c r="F68" i="7"/>
  <c r="E68" i="7"/>
  <c r="F69" i="7"/>
  <c r="E69" i="7"/>
  <c r="K72" i="7"/>
  <c r="H69" i="7"/>
  <c r="K70" i="7"/>
  <c r="K69" i="7"/>
  <c r="H68" i="7"/>
  <c r="K68" i="7"/>
  <c r="P75" i="7"/>
  <c r="M76" i="7"/>
  <c r="S74" i="7"/>
  <c r="T75" i="7"/>
  <c r="G14" i="8"/>
  <c r="D14" i="8"/>
  <c r="Y8" i="8"/>
  <c r="H14" i="8"/>
  <c r="D10" i="8"/>
  <c r="G16" i="8"/>
  <c r="J16" i="8"/>
  <c r="L17" i="8"/>
  <c r="AA130" i="7" l="1"/>
  <c r="AA135" i="7" s="1"/>
  <c r="S129" i="7"/>
  <c r="S134" i="7" s="1"/>
  <c r="K108" i="7"/>
  <c r="L128" i="7"/>
  <c r="L133" i="7" s="1"/>
  <c r="AB121" i="7"/>
  <c r="AC131" i="7"/>
  <c r="AC136" i="7" s="1"/>
  <c r="N108" i="7"/>
  <c r="O128" i="7"/>
  <c r="O133" i="7" s="1"/>
  <c r="E108" i="7"/>
  <c r="F128" i="7"/>
  <c r="F133" i="7" s="1"/>
  <c r="AA121" i="7"/>
  <c r="AB131" i="7"/>
  <c r="AB136" i="7" s="1"/>
  <c r="S128" i="7"/>
  <c r="S133" i="7" s="1"/>
  <c r="U121" i="7"/>
  <c r="V131" i="7"/>
  <c r="V136" i="7" s="1"/>
  <c r="U117" i="7"/>
  <c r="V130" i="7"/>
  <c r="V135" i="7" s="1"/>
  <c r="X121" i="7"/>
  <c r="Y131" i="7"/>
  <c r="Y136" i="7" s="1"/>
  <c r="H108" i="7"/>
  <c r="I128" i="7"/>
  <c r="I133" i="7" s="1"/>
  <c r="X117" i="7"/>
  <c r="Y130" i="7"/>
  <c r="Y135" i="7" s="1"/>
  <c r="BZ12" i="9"/>
  <c r="BV16" i="9"/>
  <c r="CF12" i="9"/>
  <c r="CC17" i="9"/>
  <c r="CC18" i="9"/>
  <c r="CB18" i="9"/>
  <c r="CC16" i="9"/>
  <c r="AB120" i="7"/>
  <c r="BZ14" i="9"/>
  <c r="Y118" i="7"/>
  <c r="CF5" i="9"/>
  <c r="CC14" i="9"/>
  <c r="CF16" i="9"/>
  <c r="CC5" i="9"/>
  <c r="Y119" i="7"/>
  <c r="CI5" i="9"/>
  <c r="BZ5" i="9"/>
  <c r="CC15" i="9"/>
  <c r="BZ15" i="9"/>
  <c r="CI10" i="9"/>
  <c r="CI12" i="9"/>
  <c r="BZ8" i="9"/>
  <c r="CI8" i="9"/>
  <c r="CC8" i="9"/>
  <c r="BI14" i="7"/>
  <c r="CC10" i="9"/>
  <c r="CF10" i="9"/>
  <c r="AF23" i="8"/>
  <c r="V33" i="7"/>
  <c r="AJ38" i="8"/>
  <c r="BZ10" i="9"/>
  <c r="BI16" i="7"/>
  <c r="V32" i="7"/>
  <c r="V75" i="7" s="1"/>
  <c r="CF8" i="9"/>
  <c r="AG4" i="8"/>
  <c r="BE4" i="8" s="1"/>
  <c r="AJ4" i="8"/>
  <c r="BH16" i="7"/>
  <c r="AQ16" i="8"/>
  <c r="BO16" i="8" s="1"/>
  <c r="V35" i="7"/>
  <c r="AQ14" i="8"/>
  <c r="BO14" i="8" s="1"/>
  <c r="BH14" i="7"/>
  <c r="AQ15" i="8"/>
  <c r="BO15" i="8" s="1"/>
  <c r="BH15" i="7"/>
  <c r="V34" i="7"/>
  <c r="BI15" i="7"/>
  <c r="AD4" i="8"/>
  <c r="BB4" i="8" s="1"/>
  <c r="BB22" i="8" s="1"/>
  <c r="CB9" i="9"/>
  <c r="CE7" i="9"/>
  <c r="CI6" i="9"/>
  <c r="CF6" i="9"/>
  <c r="CB7" i="9"/>
  <c r="BY13" i="9"/>
  <c r="BV13" i="9"/>
  <c r="CE13" i="9"/>
  <c r="CE11" i="9"/>
  <c r="BP4" i="9"/>
  <c r="BL4" i="9"/>
  <c r="P4" i="7"/>
  <c r="CC6" i="9"/>
  <c r="CB11" i="9"/>
  <c r="BI4" i="9"/>
  <c r="M4" i="7"/>
  <c r="BO4" i="9"/>
  <c r="BV7" i="9"/>
  <c r="CE9" i="9"/>
  <c r="BY7" i="9"/>
  <c r="BV11" i="9"/>
  <c r="BV9" i="9"/>
  <c r="BY11" i="9"/>
  <c r="BF4" i="9"/>
  <c r="J4" i="7"/>
  <c r="BY9" i="9"/>
  <c r="CB13" i="9"/>
  <c r="BZ6" i="9"/>
  <c r="AJ32" i="8"/>
  <c r="AJ43" i="8"/>
  <c r="U122" i="7"/>
  <c r="BH18" i="7"/>
  <c r="V37" i="7"/>
  <c r="V80" i="7" s="1"/>
  <c r="BI18" i="7"/>
  <c r="AQ18" i="8"/>
  <c r="Z17" i="7"/>
  <c r="BV17" i="9"/>
  <c r="AD18" i="7"/>
  <c r="AC122" i="7" s="1"/>
  <c r="AQ17" i="8"/>
  <c r="BO17" i="8" s="1"/>
  <c r="AD17" i="7"/>
  <c r="R115" i="7"/>
  <c r="Z118" i="7"/>
  <c r="AN35" i="8"/>
  <c r="R108" i="7"/>
  <c r="AA117" i="7"/>
  <c r="Z119" i="7"/>
  <c r="R114" i="7"/>
  <c r="R110" i="7"/>
  <c r="AG124" i="7"/>
  <c r="S116" i="7"/>
  <c r="R113" i="7"/>
  <c r="BP21" i="1"/>
  <c r="AR26" i="5"/>
  <c r="AI20" i="7"/>
  <c r="AJ31" i="8"/>
  <c r="T11" i="7"/>
  <c r="T9" i="7"/>
  <c r="R112" i="7"/>
  <c r="AN8" i="8"/>
  <c r="BL8" i="8" s="1"/>
  <c r="S27" i="7"/>
  <c r="T8" i="7"/>
  <c r="AR30" i="5"/>
  <c r="T6" i="7"/>
  <c r="R109" i="7"/>
  <c r="S24" i="7"/>
  <c r="S67" i="7" s="1"/>
  <c r="AN5" i="8"/>
  <c r="BL5" i="8" s="1"/>
  <c r="AJ33" i="8"/>
  <c r="BK8" i="8"/>
  <c r="T5" i="7"/>
  <c r="AR27" i="5"/>
  <c r="AE17" i="7"/>
  <c r="R111" i="7"/>
  <c r="AN7" i="8"/>
  <c r="BL7" i="8" s="1"/>
  <c r="S26" i="7"/>
  <c r="U12" i="7"/>
  <c r="T10" i="7"/>
  <c r="AE18" i="7"/>
  <c r="T7" i="7"/>
  <c r="AR29" i="5"/>
  <c r="AJ40" i="8"/>
  <c r="AJ41" i="8"/>
  <c r="AJ39" i="8"/>
  <c r="CJ15" i="9"/>
  <c r="CJ14" i="9"/>
  <c r="CJ17" i="9"/>
  <c r="AJ30" i="8"/>
  <c r="CG12" i="9"/>
  <c r="CG5" i="9"/>
  <c r="O23" i="7"/>
  <c r="CD12" i="9"/>
  <c r="CD16" i="9"/>
  <c r="CG17" i="9"/>
  <c r="AN34" i="8"/>
  <c r="Z23" i="8"/>
  <c r="I23" i="7"/>
  <c r="I66" i="7" s="1"/>
  <c r="V36" i="7"/>
  <c r="AQ13" i="8"/>
  <c r="BO13" i="8" s="1"/>
  <c r="L23" i="7"/>
  <c r="L66" i="7" s="1"/>
  <c r="BH17" i="7"/>
  <c r="BI17" i="7"/>
  <c r="AN4" i="8"/>
  <c r="AN36" i="8"/>
  <c r="BI13" i="7"/>
  <c r="BH13" i="7"/>
  <c r="AN6" i="8"/>
  <c r="S25" i="7"/>
  <c r="AR28" i="5"/>
  <c r="X23" i="8"/>
  <c r="AW8" i="8"/>
  <c r="BN14" i="8"/>
  <c r="AB42" i="8"/>
  <c r="AV14" i="8"/>
  <c r="X33" i="8"/>
  <c r="AV10" i="8"/>
  <c r="X34" i="8"/>
  <c r="BN16" i="8"/>
  <c r="X41" i="8"/>
  <c r="BA13" i="8"/>
  <c r="BN12" i="8"/>
  <c r="AN37" i="8"/>
  <c r="X38" i="8"/>
  <c r="Y10" i="8"/>
  <c r="AW10" i="8" s="1"/>
  <c r="AB16" i="8"/>
  <c r="AB14" i="8"/>
  <c r="AC14" i="8"/>
  <c r="BA14" i="8" s="1"/>
  <c r="AA4" i="8"/>
  <c r="AG17" i="8"/>
  <c r="Y14" i="8"/>
  <c r="AW14" i="8" s="1"/>
  <c r="AI15" i="8"/>
  <c r="BG15" i="8" s="1"/>
  <c r="AH16" i="8"/>
  <c r="BF16" i="8" s="1"/>
  <c r="AE16" i="8"/>
  <c r="BC16" i="8" s="1"/>
  <c r="AG15" i="8"/>
  <c r="F23" i="7"/>
  <c r="F66" i="7" s="1"/>
  <c r="Q71" i="7"/>
  <c r="U77" i="7"/>
  <c r="L42" i="1"/>
  <c r="M28" i="1"/>
  <c r="M42" i="1" s="1"/>
  <c r="U79" i="7"/>
  <c r="S78" i="7"/>
  <c r="Q77" i="7"/>
  <c r="Q74" i="7"/>
  <c r="R74" i="7"/>
  <c r="T73" i="7"/>
  <c r="U71" i="7"/>
  <c r="V71" i="7"/>
  <c r="Q73" i="7"/>
  <c r="R73" i="7"/>
  <c r="M67" i="7"/>
  <c r="N67" i="7"/>
  <c r="P67" i="7"/>
  <c r="O70" i="7"/>
  <c r="J72" i="7"/>
  <c r="I72" i="7"/>
  <c r="L68" i="7"/>
  <c r="L72" i="7"/>
  <c r="L70" i="7"/>
  <c r="I69" i="7"/>
  <c r="J69" i="7"/>
  <c r="I68" i="7"/>
  <c r="J68" i="7"/>
  <c r="O72" i="7"/>
  <c r="L69" i="7"/>
  <c r="J70" i="7"/>
  <c r="I70" i="7"/>
  <c r="O68" i="7"/>
  <c r="O69" i="7"/>
  <c r="R76" i="7"/>
  <c r="Q76" i="7"/>
  <c r="S76" i="7"/>
  <c r="P76" i="7"/>
  <c r="N76" i="7"/>
  <c r="P74" i="7"/>
  <c r="T74" i="7"/>
  <c r="R80" i="7"/>
  <c r="H16" i="8"/>
  <c r="AE131" i="7" l="1"/>
  <c r="AE136" i="7" s="1"/>
  <c r="AB130" i="7"/>
  <c r="AB135" i="7" s="1"/>
  <c r="Y117" i="7"/>
  <c r="Z130" i="7"/>
  <c r="Z135" i="7" s="1"/>
  <c r="I108" i="7"/>
  <c r="J128" i="7"/>
  <c r="J133" i="7" s="1"/>
  <c r="AC121" i="7"/>
  <c r="AD131" i="7"/>
  <c r="AD136" i="7" s="1"/>
  <c r="L108" i="7"/>
  <c r="M128" i="7"/>
  <c r="M133" i="7" s="1"/>
  <c r="Y121" i="7"/>
  <c r="Z131" i="7"/>
  <c r="Z136" i="7" s="1"/>
  <c r="O108" i="7"/>
  <c r="P128" i="7"/>
  <c r="P133" i="7" s="1"/>
  <c r="T129" i="7"/>
  <c r="T134" i="7" s="1"/>
  <c r="CF18" i="9"/>
  <c r="CG18" i="9"/>
  <c r="CJ12" i="9"/>
  <c r="CD14" i="9"/>
  <c r="CD17" i="9"/>
  <c r="CD18" i="9"/>
  <c r="CG16" i="9"/>
  <c r="CJ5" i="9"/>
  <c r="CG14" i="9"/>
  <c r="CJ16" i="9"/>
  <c r="CD15" i="9"/>
  <c r="CD5" i="9"/>
  <c r="CJ8" i="9"/>
  <c r="CG15" i="9"/>
  <c r="CG8" i="9"/>
  <c r="CJ10" i="9"/>
  <c r="CD8" i="9"/>
  <c r="AH4" i="8"/>
  <c r="BF4" i="8" s="1"/>
  <c r="CG10" i="9"/>
  <c r="BH4" i="8"/>
  <c r="CD10" i="9"/>
  <c r="AN41" i="8"/>
  <c r="AN40" i="8"/>
  <c r="T4" i="7"/>
  <c r="AN39" i="8"/>
  <c r="AD23" i="8"/>
  <c r="AK4" i="8"/>
  <c r="BI4" i="8" s="1"/>
  <c r="BI22" i="8" s="1"/>
  <c r="AE4" i="8"/>
  <c r="AB29" i="8" s="1"/>
  <c r="CG6" i="9"/>
  <c r="CC13" i="9"/>
  <c r="CF7" i="9"/>
  <c r="BZ7" i="9"/>
  <c r="CC11" i="9"/>
  <c r="CI11" i="9"/>
  <c r="CJ6" i="9"/>
  <c r="CI9" i="9"/>
  <c r="BS4" i="9"/>
  <c r="BJ4" i="9"/>
  <c r="N4" i="7"/>
  <c r="BZ9" i="9"/>
  <c r="CI13" i="9"/>
  <c r="CI7" i="9"/>
  <c r="CD6" i="9"/>
  <c r="BZ11" i="9"/>
  <c r="BQ4" i="9"/>
  <c r="BM4" i="9"/>
  <c r="Q4" i="7"/>
  <c r="BZ13" i="9"/>
  <c r="CC9" i="9"/>
  <c r="CF11" i="9"/>
  <c r="CF9" i="9"/>
  <c r="CF13" i="9"/>
  <c r="CC7" i="9"/>
  <c r="CJ18" i="9"/>
  <c r="AN42" i="8"/>
  <c r="BO18" i="8"/>
  <c r="AN43" i="8"/>
  <c r="AA118" i="7"/>
  <c r="S113" i="7"/>
  <c r="AA119" i="7"/>
  <c r="AB117" i="7"/>
  <c r="S114" i="7"/>
  <c r="T116" i="7"/>
  <c r="AH124" i="7"/>
  <c r="S115" i="7"/>
  <c r="AD122" i="7"/>
  <c r="S110" i="7"/>
  <c r="AC120" i="7"/>
  <c r="AD121" i="7"/>
  <c r="BQ21" i="1"/>
  <c r="BR21" i="1" s="1"/>
  <c r="BS21" i="1" s="1"/>
  <c r="BT21" i="1" s="1"/>
  <c r="BU21" i="1" s="1"/>
  <c r="BV21" i="1" s="1"/>
  <c r="BW21" i="1" s="1"/>
  <c r="BX21" i="1" s="1"/>
  <c r="BY21" i="1" s="1"/>
  <c r="BZ21" i="1" s="1"/>
  <c r="CA21" i="1" s="1"/>
  <c r="CB21" i="1" s="1"/>
  <c r="CC21" i="1" s="1"/>
  <c r="CD21" i="1" s="1"/>
  <c r="CE21" i="1" s="1"/>
  <c r="CF21" i="1" s="1"/>
  <c r="CG21" i="1" s="1"/>
  <c r="CH21" i="1" s="1"/>
  <c r="CI21" i="1" s="1"/>
  <c r="CJ21" i="1" s="1"/>
  <c r="CK21" i="1" s="1"/>
  <c r="CL21" i="1" s="1"/>
  <c r="CM21" i="1" s="1"/>
  <c r="CN21" i="1" s="1"/>
  <c r="CO21" i="1" s="1"/>
  <c r="CP21" i="1" s="1"/>
  <c r="U7" i="7"/>
  <c r="AS29" i="5"/>
  <c r="U9" i="7"/>
  <c r="AE16" i="7"/>
  <c r="U6" i="7"/>
  <c r="U11" i="7"/>
  <c r="AF17" i="7"/>
  <c r="S112" i="7"/>
  <c r="AO8" i="8"/>
  <c r="T27" i="7"/>
  <c r="S111" i="7"/>
  <c r="AO7" i="8"/>
  <c r="BM7" i="8" s="1"/>
  <c r="T26" i="7"/>
  <c r="AF18" i="7"/>
  <c r="U8" i="7"/>
  <c r="AS30" i="5"/>
  <c r="S109" i="7"/>
  <c r="T24" i="7"/>
  <c r="T67" i="7" s="1"/>
  <c r="AO5" i="8"/>
  <c r="U10" i="7"/>
  <c r="U5" i="7"/>
  <c r="AS27" i="5"/>
  <c r="AJ20" i="7"/>
  <c r="V12" i="7"/>
  <c r="AS26" i="5"/>
  <c r="CK5" i="9"/>
  <c r="CK12" i="9"/>
  <c r="CK17" i="9"/>
  <c r="CK18" i="9"/>
  <c r="CH12" i="9"/>
  <c r="CH16" i="9"/>
  <c r="P23" i="7"/>
  <c r="S23" i="7"/>
  <c r="AN38" i="8"/>
  <c r="BL4" i="8"/>
  <c r="AN23" i="8"/>
  <c r="M23" i="7"/>
  <c r="M66" i="7" s="1"/>
  <c r="AO6" i="8"/>
  <c r="BM6" i="8" s="1"/>
  <c r="T25" i="7"/>
  <c r="AS28" i="5"/>
  <c r="BL6" i="8"/>
  <c r="AV22" i="8"/>
  <c r="BE15" i="8"/>
  <c r="AF40" i="8"/>
  <c r="X35" i="8"/>
  <c r="BE17" i="8"/>
  <c r="AY4" i="8"/>
  <c r="AY22" i="8" s="1"/>
  <c r="AA23" i="8"/>
  <c r="X29" i="8"/>
  <c r="Y23" i="8"/>
  <c r="AW22" i="8"/>
  <c r="AZ14" i="8"/>
  <c r="AB39" i="8"/>
  <c r="AB23" i="8"/>
  <c r="X39" i="8"/>
  <c r="AZ16" i="8"/>
  <c r="AC16" i="8"/>
  <c r="AI16" i="8"/>
  <c r="BG16" i="8" s="1"/>
  <c r="J23" i="7"/>
  <c r="J66" i="7" s="1"/>
  <c r="U75" i="7"/>
  <c r="Q78" i="7"/>
  <c r="T78" i="7"/>
  <c r="U74" i="7"/>
  <c r="V74" i="7"/>
  <c r="U73" i="7"/>
  <c r="V73" i="7"/>
  <c r="Q67" i="7"/>
  <c r="R67" i="7"/>
  <c r="N69" i="7"/>
  <c r="M69" i="7"/>
  <c r="M72" i="7"/>
  <c r="N72" i="7"/>
  <c r="P70" i="7"/>
  <c r="P69" i="7"/>
  <c r="P72" i="7"/>
  <c r="M68" i="7"/>
  <c r="N68" i="7"/>
  <c r="S69" i="7"/>
  <c r="S72" i="7"/>
  <c r="S70" i="7"/>
  <c r="S68" i="7"/>
  <c r="P68" i="7"/>
  <c r="M70" i="7"/>
  <c r="N70" i="7"/>
  <c r="T76" i="7"/>
  <c r="R77" i="7"/>
  <c r="R79" i="7"/>
  <c r="AG16" i="8"/>
  <c r="AG23" i="8" s="1"/>
  <c r="AC130" i="7" l="1"/>
  <c r="AC135" i="7" s="1"/>
  <c r="U129" i="7"/>
  <c r="U134" i="7" s="1"/>
  <c r="AO4" i="8"/>
  <c r="AO23" i="8" s="1"/>
  <c r="T128" i="7"/>
  <c r="T133" i="7" s="1"/>
  <c r="P108" i="7"/>
  <c r="Q128" i="7"/>
  <c r="Q133" i="7" s="1"/>
  <c r="M108" i="7"/>
  <c r="N128" i="7"/>
  <c r="N133" i="7" s="1"/>
  <c r="AF131" i="7"/>
  <c r="AF136" i="7" s="1"/>
  <c r="CH14" i="9"/>
  <c r="CH18" i="9"/>
  <c r="CH17" i="9"/>
  <c r="CK16" i="9"/>
  <c r="CK14" i="9"/>
  <c r="CK15" i="9"/>
  <c r="CH15" i="9"/>
  <c r="CH5" i="9"/>
  <c r="CH8" i="9"/>
  <c r="CK8" i="9"/>
  <c r="CK10" i="9"/>
  <c r="CH10" i="9"/>
  <c r="U4" i="7"/>
  <c r="S108" i="7"/>
  <c r="AE23" i="8"/>
  <c r="BC4" i="8"/>
  <c r="BC22" i="8" s="1"/>
  <c r="AK23" i="8"/>
  <c r="AL4" i="8"/>
  <c r="AL23" i="8" s="1"/>
  <c r="AI4" i="8"/>
  <c r="BG4" i="8" s="1"/>
  <c r="BG22" i="8" s="1"/>
  <c r="CD9" i="9"/>
  <c r="CG7" i="9"/>
  <c r="CG11" i="9"/>
  <c r="CD13" i="9"/>
  <c r="CJ13" i="9"/>
  <c r="CD7" i="9"/>
  <c r="CD11" i="9"/>
  <c r="BT4" i="9"/>
  <c r="CJ9" i="9"/>
  <c r="BW4" i="9"/>
  <c r="CJ7" i="9"/>
  <c r="BR4" i="9"/>
  <c r="BN4" i="9"/>
  <c r="R4" i="7"/>
  <c r="CH6" i="9"/>
  <c r="CJ11" i="9"/>
  <c r="CG13" i="9"/>
  <c r="CG9" i="9"/>
  <c r="CK6" i="9"/>
  <c r="U116" i="7"/>
  <c r="AC117" i="7"/>
  <c r="AI124" i="7"/>
  <c r="T115" i="7"/>
  <c r="T110" i="7"/>
  <c r="AE122" i="7"/>
  <c r="AD120" i="7"/>
  <c r="AE121" i="7"/>
  <c r="AB119" i="7"/>
  <c r="AB118" i="7"/>
  <c r="T113" i="7"/>
  <c r="T114" i="7"/>
  <c r="T109" i="7"/>
  <c r="U24" i="7"/>
  <c r="U67" i="7" s="1"/>
  <c r="AP5" i="8"/>
  <c r="BN5" i="8" s="1"/>
  <c r="AG18" i="7"/>
  <c r="V10" i="7"/>
  <c r="BM5" i="8"/>
  <c r="V6" i="7"/>
  <c r="AE13" i="7"/>
  <c r="V11" i="7"/>
  <c r="AF16" i="7"/>
  <c r="AT26" i="5"/>
  <c r="W12" i="7"/>
  <c r="BM8" i="8"/>
  <c r="V9" i="7"/>
  <c r="V5" i="7"/>
  <c r="AT27" i="5"/>
  <c r="T112" i="7"/>
  <c r="AP8" i="8"/>
  <c r="BN8" i="8" s="1"/>
  <c r="U27" i="7"/>
  <c r="AK20" i="7"/>
  <c r="V8" i="7"/>
  <c r="AT30" i="5"/>
  <c r="AG17" i="7"/>
  <c r="T111" i="7"/>
  <c r="AP7" i="8"/>
  <c r="BN7" i="8" s="1"/>
  <c r="U26" i="7"/>
  <c r="V7" i="7"/>
  <c r="AT29" i="5"/>
  <c r="CL18" i="9"/>
  <c r="CL17" i="9"/>
  <c r="CL12" i="9"/>
  <c r="CL16" i="9"/>
  <c r="Q23" i="7"/>
  <c r="BL22" i="8"/>
  <c r="T23" i="7"/>
  <c r="AP6" i="8"/>
  <c r="U25" i="7"/>
  <c r="AT28" i="5"/>
  <c r="AV23" i="8"/>
  <c r="X24" i="8"/>
  <c r="AZ22" i="8"/>
  <c r="BA16" i="8"/>
  <c r="BA22" i="8" s="1"/>
  <c r="AC23" i="8"/>
  <c r="AB41" i="8"/>
  <c r="BE16" i="8"/>
  <c r="BE22" i="8" s="1"/>
  <c r="AF41" i="8"/>
  <c r="N23" i="7"/>
  <c r="N66" i="7" s="1"/>
  <c r="O66" i="7"/>
  <c r="U78" i="7"/>
  <c r="Q68" i="7"/>
  <c r="R68" i="7"/>
  <c r="T69" i="7"/>
  <c r="Q69" i="7"/>
  <c r="R69" i="7"/>
  <c r="T68" i="7"/>
  <c r="T70" i="7"/>
  <c r="Q70" i="7"/>
  <c r="R70" i="7"/>
  <c r="T72" i="7"/>
  <c r="Q72" i="7"/>
  <c r="R72" i="7"/>
  <c r="U76" i="7"/>
  <c r="V76" i="7"/>
  <c r="V79" i="7"/>
  <c r="V77" i="7"/>
  <c r="BM4" i="8" l="1"/>
  <c r="BM22" i="8" s="1"/>
  <c r="AD130" i="7"/>
  <c r="AD135" i="7" s="1"/>
  <c r="AG131" i="7"/>
  <c r="AG136" i="7" s="1"/>
  <c r="V129" i="7"/>
  <c r="V134" i="7" s="1"/>
  <c r="T108" i="7"/>
  <c r="U128" i="7"/>
  <c r="U133" i="7" s="1"/>
  <c r="Q108" i="7"/>
  <c r="R128" i="7"/>
  <c r="R133" i="7" s="1"/>
  <c r="CL14" i="9"/>
  <c r="CL15" i="9"/>
  <c r="CL8" i="9"/>
  <c r="CL5" i="9"/>
  <c r="CL10" i="9"/>
  <c r="U23" i="7"/>
  <c r="AB24" i="8"/>
  <c r="AF29" i="8"/>
  <c r="AI23" i="8"/>
  <c r="R23" i="7"/>
  <c r="BJ4" i="8"/>
  <c r="BJ22" i="8" s="1"/>
  <c r="CH7" i="9"/>
  <c r="CK9" i="9"/>
  <c r="CA4" i="9"/>
  <c r="CK13" i="9"/>
  <c r="CH13" i="9"/>
  <c r="CK11" i="9"/>
  <c r="BU4" i="9"/>
  <c r="BX4" i="9"/>
  <c r="CK7" i="9"/>
  <c r="V4" i="7"/>
  <c r="CL6" i="9"/>
  <c r="CH11" i="9"/>
  <c r="CH9" i="9"/>
  <c r="AJ124" i="7"/>
  <c r="AC118" i="7"/>
  <c r="U115" i="7"/>
  <c r="AF121" i="7"/>
  <c r="U110" i="7"/>
  <c r="AD117" i="7"/>
  <c r="U114" i="7"/>
  <c r="U113" i="7"/>
  <c r="AC119" i="7"/>
  <c r="AF122" i="7"/>
  <c r="V116" i="7"/>
  <c r="AE120" i="7"/>
  <c r="W4" i="7"/>
  <c r="W6" i="7"/>
  <c r="W5" i="7"/>
  <c r="W10" i="7"/>
  <c r="U109" i="7"/>
  <c r="BI5" i="7"/>
  <c r="BH5" i="7"/>
  <c r="V24" i="7"/>
  <c r="V67" i="7" s="1"/>
  <c r="AQ5" i="8"/>
  <c r="AG16" i="7"/>
  <c r="AH17" i="7"/>
  <c r="W9" i="7"/>
  <c r="AE14" i="7"/>
  <c r="AE15" i="7"/>
  <c r="W8" i="7"/>
  <c r="W11" i="7"/>
  <c r="U111" i="7"/>
  <c r="AQ7" i="8"/>
  <c r="BO7" i="8" s="1"/>
  <c r="V26" i="7"/>
  <c r="V69" i="7" s="1"/>
  <c r="BI7" i="7"/>
  <c r="BH7" i="7"/>
  <c r="U112" i="7"/>
  <c r="V27" i="7"/>
  <c r="V70" i="7" s="1"/>
  <c r="AQ8" i="8"/>
  <c r="BO8" i="8" s="1"/>
  <c r="BH8" i="7"/>
  <c r="BI8" i="7"/>
  <c r="AH18" i="7"/>
  <c r="BH6" i="7"/>
  <c r="AL20" i="7"/>
  <c r="AF13" i="7"/>
  <c r="W7" i="7"/>
  <c r="X12" i="7"/>
  <c r="BI6" i="7"/>
  <c r="AM4" i="8"/>
  <c r="AJ29" i="8" s="1"/>
  <c r="AP4" i="8"/>
  <c r="BN4" i="8" s="1"/>
  <c r="AQ6" i="8"/>
  <c r="BO6" i="8" s="1"/>
  <c r="V25" i="7"/>
  <c r="V68" i="7" s="1"/>
  <c r="BN6" i="8"/>
  <c r="AZ23" i="8"/>
  <c r="P66" i="7"/>
  <c r="V72" i="7"/>
  <c r="U72" i="7"/>
  <c r="U70" i="7"/>
  <c r="U69" i="7"/>
  <c r="U68" i="7"/>
  <c r="R78" i="7"/>
  <c r="W129" i="7" l="1"/>
  <c r="W134" i="7" s="1"/>
  <c r="W128" i="7"/>
  <c r="W133" i="7" s="1"/>
  <c r="AE130" i="7"/>
  <c r="AE135" i="7" s="1"/>
  <c r="AH131" i="7"/>
  <c r="AH136" i="7" s="1"/>
  <c r="V23" i="7"/>
  <c r="V128" i="7"/>
  <c r="V133" i="7" s="1"/>
  <c r="CL11" i="9"/>
  <c r="U108" i="7"/>
  <c r="CB4" i="9"/>
  <c r="CE4" i="9"/>
  <c r="BY4" i="9"/>
  <c r="CL9" i="9"/>
  <c r="BV4" i="9"/>
  <c r="CL7" i="9"/>
  <c r="CL13" i="9"/>
  <c r="AD119" i="7"/>
  <c r="AD118" i="7"/>
  <c r="AF120" i="7"/>
  <c r="W116" i="7"/>
  <c r="V110" i="7"/>
  <c r="V108" i="7"/>
  <c r="V113" i="7"/>
  <c r="V111" i="7"/>
  <c r="AK124" i="7"/>
  <c r="AG121" i="7"/>
  <c r="AE117" i="7"/>
  <c r="V115" i="7"/>
  <c r="V114" i="7"/>
  <c r="AG122" i="7"/>
  <c r="V112" i="7"/>
  <c r="V109" i="7"/>
  <c r="AG13" i="7"/>
  <c r="AF15" i="7"/>
  <c r="AF14" i="7"/>
  <c r="X10" i="7"/>
  <c r="X9" i="7"/>
  <c r="AN32" i="8"/>
  <c r="X5" i="7"/>
  <c r="X8" i="7"/>
  <c r="AI17" i="7"/>
  <c r="AM20" i="7"/>
  <c r="X6" i="7"/>
  <c r="AN33" i="8"/>
  <c r="AH16" i="7"/>
  <c r="X7" i="7"/>
  <c r="AI18" i="7"/>
  <c r="X11" i="7"/>
  <c r="Y12" i="7"/>
  <c r="BO5" i="8"/>
  <c r="AN30" i="8"/>
  <c r="X4" i="7"/>
  <c r="AM23" i="8"/>
  <c r="BK4" i="8"/>
  <c r="BK22" i="8" s="1"/>
  <c r="BN22" i="8"/>
  <c r="AN31" i="8"/>
  <c r="AP23" i="8"/>
  <c r="BH4" i="7"/>
  <c r="BI4" i="7"/>
  <c r="AQ4" i="8"/>
  <c r="Q66" i="7"/>
  <c r="V78" i="7"/>
  <c r="AF130" i="7" l="1"/>
  <c r="AF135" i="7" s="1"/>
  <c r="AI131" i="7"/>
  <c r="AI136" i="7" s="1"/>
  <c r="X129" i="7"/>
  <c r="X134" i="7" s="1"/>
  <c r="X128" i="7"/>
  <c r="X133" i="7" s="1"/>
  <c r="CC4" i="9"/>
  <c r="CI4" i="9"/>
  <c r="CF4" i="9"/>
  <c r="BZ4" i="9"/>
  <c r="W114" i="7"/>
  <c r="AH122" i="7"/>
  <c r="AE119" i="7"/>
  <c r="AG120" i="7"/>
  <c r="AF117" i="7"/>
  <c r="W113" i="7"/>
  <c r="W115" i="7"/>
  <c r="W110" i="7"/>
  <c r="AL124" i="7"/>
  <c r="AH121" i="7"/>
  <c r="W108" i="7"/>
  <c r="W109" i="7"/>
  <c r="X116" i="7"/>
  <c r="AE118" i="7"/>
  <c r="W111" i="7"/>
  <c r="W112" i="7"/>
  <c r="Y9" i="7"/>
  <c r="Y5" i="7"/>
  <c r="Y4" i="7"/>
  <c r="Y10" i="7"/>
  <c r="AI16" i="7"/>
  <c r="AN20" i="7"/>
  <c r="AG14" i="7"/>
  <c r="Y11" i="7"/>
  <c r="AJ17" i="7"/>
  <c r="Y6" i="7"/>
  <c r="AJ18" i="7"/>
  <c r="AG15" i="7"/>
  <c r="Z12" i="7"/>
  <c r="Y8" i="7"/>
  <c r="Y7" i="7"/>
  <c r="AH13" i="7"/>
  <c r="BO4" i="8"/>
  <c r="BO22" i="8" s="1"/>
  <c r="BL23" i="8" s="1"/>
  <c r="AN29" i="8"/>
  <c r="AQ23" i="8"/>
  <c r="AN24" i="8" s="1"/>
  <c r="R66" i="7"/>
  <c r="AG130" i="7" l="1"/>
  <c r="AG135" i="7" s="1"/>
  <c r="Y128" i="7"/>
  <c r="Y133" i="7" s="1"/>
  <c r="AJ131" i="7"/>
  <c r="AJ136" i="7" s="1"/>
  <c r="Y129" i="7"/>
  <c r="Y134" i="7" s="1"/>
  <c r="CD4" i="9"/>
  <c r="CG4" i="9"/>
  <c r="CJ4" i="9"/>
  <c r="X111" i="7"/>
  <c r="X113" i="7"/>
  <c r="X108" i="7"/>
  <c r="Y116" i="7"/>
  <c r="AI122" i="7"/>
  <c r="AI121" i="7"/>
  <c r="X114" i="7"/>
  <c r="X112" i="7"/>
  <c r="AF119" i="7"/>
  <c r="X115" i="7"/>
  <c r="AH120" i="7"/>
  <c r="AG117" i="7"/>
  <c r="X109" i="7"/>
  <c r="X110" i="7"/>
  <c r="AF118" i="7"/>
  <c r="AM124" i="7"/>
  <c r="AO20" i="7"/>
  <c r="Z10" i="7"/>
  <c r="AH15" i="7"/>
  <c r="AI13" i="7"/>
  <c r="Z7" i="7"/>
  <c r="AK17" i="7"/>
  <c r="Z4" i="7"/>
  <c r="Z8" i="7"/>
  <c r="Z11" i="7"/>
  <c r="Z5" i="7"/>
  <c r="AK18" i="7"/>
  <c r="AJ16" i="7"/>
  <c r="Z6" i="7"/>
  <c r="AA12" i="7"/>
  <c r="AH14" i="7"/>
  <c r="Z9" i="7"/>
  <c r="S66" i="7"/>
  <c r="AH130" i="7" l="1"/>
  <c r="AH135" i="7" s="1"/>
  <c r="AK131" i="7"/>
  <c r="AK136" i="7" s="1"/>
  <c r="Z129" i="7"/>
  <c r="Z134" i="7" s="1"/>
  <c r="Z128" i="7"/>
  <c r="Z133" i="7" s="1"/>
  <c r="CH4" i="9"/>
  <c r="CK4" i="9"/>
  <c r="Y113" i="7"/>
  <c r="Y111" i="7"/>
  <c r="AN124" i="7"/>
  <c r="AG119" i="7"/>
  <c r="Y114" i="7"/>
  <c r="AI120" i="7"/>
  <c r="AG118" i="7"/>
  <c r="Y110" i="7"/>
  <c r="Z116" i="7"/>
  <c r="AJ122" i="7"/>
  <c r="Y115" i="7"/>
  <c r="Y108" i="7"/>
  <c r="AH117" i="7"/>
  <c r="Y109" i="7"/>
  <c r="Y112" i="7"/>
  <c r="AJ121" i="7"/>
  <c r="AL18" i="7"/>
  <c r="AP20" i="7"/>
  <c r="AA7" i="7"/>
  <c r="AJ13" i="7"/>
  <c r="AA11" i="7"/>
  <c r="AI15" i="7"/>
  <c r="AA6" i="7"/>
  <c r="AK16" i="7"/>
  <c r="AA5" i="7"/>
  <c r="AB12" i="7"/>
  <c r="AA8" i="7"/>
  <c r="AA10" i="7"/>
  <c r="AA4" i="7"/>
  <c r="AL17" i="7"/>
  <c r="AA9" i="7"/>
  <c r="AI14" i="7"/>
  <c r="T66" i="7"/>
  <c r="AI130" i="7" l="1"/>
  <c r="AI135" i="7" s="1"/>
  <c r="AL131" i="7"/>
  <c r="AL136" i="7" s="1"/>
  <c r="AA129" i="7"/>
  <c r="AA134" i="7" s="1"/>
  <c r="AA128" i="7"/>
  <c r="AA133" i="7" s="1"/>
  <c r="CL4" i="9"/>
  <c r="Z115" i="7"/>
  <c r="AK122" i="7"/>
  <c r="AI117" i="7"/>
  <c r="Z113" i="7"/>
  <c r="AH118" i="7"/>
  <c r="AK121" i="7"/>
  <c r="Z114" i="7"/>
  <c r="Z111" i="7"/>
  <c r="Z108" i="7"/>
  <c r="Z112" i="7"/>
  <c r="AJ120" i="7"/>
  <c r="AA116" i="7"/>
  <c r="Z109" i="7"/>
  <c r="Z110" i="7"/>
  <c r="AH119" i="7"/>
  <c r="AM18" i="7"/>
  <c r="AB6" i="7"/>
  <c r="AJ15" i="7"/>
  <c r="AC12" i="7"/>
  <c r="AB9" i="7"/>
  <c r="AB5" i="7"/>
  <c r="AB7" i="7"/>
  <c r="AK13" i="7"/>
  <c r="AO124" i="7"/>
  <c r="AB10" i="7"/>
  <c r="AB11" i="7"/>
  <c r="AL16" i="7"/>
  <c r="AB4" i="7"/>
  <c r="AB8" i="7"/>
  <c r="AJ14" i="7"/>
  <c r="AM17" i="7"/>
  <c r="U66" i="7"/>
  <c r="AB129" i="7" l="1"/>
  <c r="AB134" i="7" s="1"/>
  <c r="AB128" i="7"/>
  <c r="AB133" i="7" s="1"/>
  <c r="AJ130" i="7"/>
  <c r="AJ135" i="7" s="1"/>
  <c r="AM131" i="7"/>
  <c r="AM136" i="7" s="1"/>
  <c r="AI118" i="7"/>
  <c r="AA113" i="7"/>
  <c r="AA111" i="7"/>
  <c r="AB116" i="7"/>
  <c r="AA112" i="7"/>
  <c r="AL121" i="7"/>
  <c r="AI119" i="7"/>
  <c r="AA110" i="7"/>
  <c r="AL122" i="7"/>
  <c r="AK120" i="7"/>
  <c r="AA115" i="7"/>
  <c r="AA109" i="7"/>
  <c r="AA108" i="7"/>
  <c r="AA114" i="7"/>
  <c r="AJ117" i="7"/>
  <c r="AC7" i="7"/>
  <c r="AC5" i="7"/>
  <c r="AN18" i="7"/>
  <c r="AC11" i="7"/>
  <c r="AC10" i="7"/>
  <c r="AC4" i="7"/>
  <c r="AK15" i="7"/>
  <c r="AM16" i="7"/>
  <c r="AC9" i="7"/>
  <c r="AN17" i="7"/>
  <c r="AD12" i="7"/>
  <c r="AK14" i="7"/>
  <c r="AC8" i="7"/>
  <c r="AL13" i="7"/>
  <c r="AC6" i="7"/>
  <c r="V66" i="7"/>
  <c r="AK130" i="7" l="1"/>
  <c r="AK135" i="7" s="1"/>
  <c r="AC129" i="7"/>
  <c r="AC134" i="7" s="1"/>
  <c r="AC128" i="7"/>
  <c r="AC133" i="7" s="1"/>
  <c r="AN131" i="7"/>
  <c r="AN136" i="7" s="1"/>
  <c r="AB114" i="7"/>
  <c r="AB110" i="7"/>
  <c r="AK117" i="7"/>
  <c r="AJ119" i="7"/>
  <c r="AB111" i="7"/>
  <c r="AJ118" i="7"/>
  <c r="AM121" i="7"/>
  <c r="AB113" i="7"/>
  <c r="AB115" i="7"/>
  <c r="AM122" i="7"/>
  <c r="AB109" i="7"/>
  <c r="AB112" i="7"/>
  <c r="AC116" i="7"/>
  <c r="AL120" i="7"/>
  <c r="AD7" i="7"/>
  <c r="AD8" i="7"/>
  <c r="AD4" i="7"/>
  <c r="AD10" i="7"/>
  <c r="AL15" i="7"/>
  <c r="AL14" i="7"/>
  <c r="AO17" i="7"/>
  <c r="AD6" i="7"/>
  <c r="AO18" i="7"/>
  <c r="AD11" i="7"/>
  <c r="AB108" i="7"/>
  <c r="AE12" i="7"/>
  <c r="AD9" i="7"/>
  <c r="AD5" i="7"/>
  <c r="AM13" i="7"/>
  <c r="AN16" i="7"/>
  <c r="AW29" i="8" a="1"/>
  <c r="AX38" i="8" s="1"/>
  <c r="AZ38" i="8" s="1"/>
  <c r="AL130" i="7" l="1"/>
  <c r="AL135" i="7" s="1"/>
  <c r="AO131" i="7"/>
  <c r="AO136" i="7" s="1"/>
  <c r="AD129" i="7"/>
  <c r="AD134" i="7" s="1"/>
  <c r="AD128" i="7"/>
  <c r="AD133" i="7" s="1"/>
  <c r="AC110" i="7"/>
  <c r="AK118" i="7"/>
  <c r="AM120" i="7"/>
  <c r="AN121" i="7"/>
  <c r="AL117" i="7"/>
  <c r="AC114" i="7"/>
  <c r="AC108" i="7"/>
  <c r="AC112" i="7"/>
  <c r="AC111" i="7"/>
  <c r="AK119" i="7"/>
  <c r="AC109" i="7"/>
  <c r="AC113" i="7"/>
  <c r="AD116" i="7"/>
  <c r="AC115" i="7"/>
  <c r="AN122" i="7"/>
  <c r="AF12" i="7"/>
  <c r="AO16" i="7"/>
  <c r="AM14" i="7"/>
  <c r="AE10" i="7"/>
  <c r="AP18" i="7"/>
  <c r="AE5" i="7"/>
  <c r="AE8" i="7"/>
  <c r="AM15" i="7"/>
  <c r="AN13" i="7"/>
  <c r="AE4" i="7"/>
  <c r="AE6" i="7"/>
  <c r="AE11" i="7"/>
  <c r="AE9" i="7"/>
  <c r="AP17" i="7"/>
  <c r="AE7" i="7"/>
  <c r="AX41" i="8"/>
  <c r="AZ41" i="8" s="1"/>
  <c r="AX39" i="8"/>
  <c r="AZ39" i="8" s="1"/>
  <c r="AX43" i="8"/>
  <c r="AZ43" i="8" s="1"/>
  <c r="AX30" i="8"/>
  <c r="AZ30" i="8" s="1"/>
  <c r="AX36" i="8"/>
  <c r="AZ36" i="8" s="1"/>
  <c r="AX32" i="8"/>
  <c r="AZ32" i="8" s="1"/>
  <c r="AX42" i="8"/>
  <c r="AX40" i="8"/>
  <c r="AZ40" i="8" s="1"/>
  <c r="AW29" i="8"/>
  <c r="AX29" i="8" s="1"/>
  <c r="AZ29" i="8" s="1"/>
  <c r="AX37" i="8"/>
  <c r="AZ37" i="8" s="1"/>
  <c r="AX35" i="8"/>
  <c r="AZ35" i="8" s="1"/>
  <c r="AX44" i="8"/>
  <c r="AZ44" i="8" s="1"/>
  <c r="AX33" i="8"/>
  <c r="AZ33" i="8" s="1"/>
  <c r="AX31" i="8"/>
  <c r="AZ31" i="8" s="1"/>
  <c r="AX45" i="8"/>
  <c r="AZ45" i="8" s="1"/>
  <c r="AX34" i="8"/>
  <c r="AZ34" i="8" s="1"/>
  <c r="AP131" i="7" l="1"/>
  <c r="AP136" i="7" s="1"/>
  <c r="AE129" i="7"/>
  <c r="AE134" i="7" s="1"/>
  <c r="AM130" i="7"/>
  <c r="AM135" i="7" s="1"/>
  <c r="AE128" i="7"/>
  <c r="AE133" i="7" s="1"/>
  <c r="AD114" i="7"/>
  <c r="AO121" i="7"/>
  <c r="AD111" i="7"/>
  <c r="AD113" i="7"/>
  <c r="AO122" i="7"/>
  <c r="AN120" i="7"/>
  <c r="AE116" i="7"/>
  <c r="AD115" i="7"/>
  <c r="AL119" i="7"/>
  <c r="AD109" i="7"/>
  <c r="AL118" i="7"/>
  <c r="AD110" i="7"/>
  <c r="AM117" i="7"/>
  <c r="AD112" i="7"/>
  <c r="AF11" i="7"/>
  <c r="AD108" i="7"/>
  <c r="AF10" i="7"/>
  <c r="AN14" i="7"/>
  <c r="AF6" i="7"/>
  <c r="AF4" i="7"/>
  <c r="AO13" i="7"/>
  <c r="AP16" i="7"/>
  <c r="AF7" i="7"/>
  <c r="AF5" i="7"/>
  <c r="AN15" i="7"/>
  <c r="AF9" i="7"/>
  <c r="AF8" i="7"/>
  <c r="AG12" i="7"/>
  <c r="AF129" i="7" l="1"/>
  <c r="AF134" i="7" s="1"/>
  <c r="AF128" i="7"/>
  <c r="AF133" i="7" s="1"/>
  <c r="AN130" i="7"/>
  <c r="AN135" i="7" s="1"/>
  <c r="AE114" i="7"/>
  <c r="AE115" i="7"/>
  <c r="AE108" i="7"/>
  <c r="AF116" i="7"/>
  <c r="AE113" i="7"/>
  <c r="AN117" i="7"/>
  <c r="AE110" i="7"/>
  <c r="AO120" i="7"/>
  <c r="AM118" i="7"/>
  <c r="AE109" i="7"/>
  <c r="AE112" i="7"/>
  <c r="AM119" i="7"/>
  <c r="AE111" i="7"/>
  <c r="AO15" i="7"/>
  <c r="AG5" i="7"/>
  <c r="AO14" i="7"/>
  <c r="AG4" i="7"/>
  <c r="AG7" i="7"/>
  <c r="AG10" i="7"/>
  <c r="AG9" i="7"/>
  <c r="AG6" i="7"/>
  <c r="AH12" i="7"/>
  <c r="AG8" i="7"/>
  <c r="AP13" i="7"/>
  <c r="AG11" i="7"/>
  <c r="AO130" i="7" l="1"/>
  <c r="AO135" i="7" s="1"/>
  <c r="AG129" i="7"/>
  <c r="AG134" i="7" s="1"/>
  <c r="AG128" i="7"/>
  <c r="AG133" i="7" s="1"/>
  <c r="AO117" i="7"/>
  <c r="AG116" i="7"/>
  <c r="AN118" i="7"/>
  <c r="AF113" i="7"/>
  <c r="AF111" i="7"/>
  <c r="AF109" i="7"/>
  <c r="AF114" i="7"/>
  <c r="AF108" i="7"/>
  <c r="AN119" i="7"/>
  <c r="AF112" i="7"/>
  <c r="AF110" i="7"/>
  <c r="AF115" i="7"/>
  <c r="AH10" i="7"/>
  <c r="AH8" i="7"/>
  <c r="AH11" i="7"/>
  <c r="AI12" i="7"/>
  <c r="AH5" i="7"/>
  <c r="AH7" i="7"/>
  <c r="AH4" i="7"/>
  <c r="AP14" i="7"/>
  <c r="AH6" i="7"/>
  <c r="AH9" i="7"/>
  <c r="AP15" i="7"/>
  <c r="AP130" i="7" l="1"/>
  <c r="AP135" i="7" s="1"/>
  <c r="AH129" i="7"/>
  <c r="AH134" i="7" s="1"/>
  <c r="AH128" i="7"/>
  <c r="AH133" i="7" s="1"/>
  <c r="AO119" i="7"/>
  <c r="AG111" i="7"/>
  <c r="AG109" i="7"/>
  <c r="AG113" i="7"/>
  <c r="AH116" i="7"/>
  <c r="AG110" i="7"/>
  <c r="AG115" i="7"/>
  <c r="AG108" i="7"/>
  <c r="AG112" i="7"/>
  <c r="AO118" i="7"/>
  <c r="AG114" i="7"/>
  <c r="AI5" i="7"/>
  <c r="AJ12" i="7"/>
  <c r="AI6" i="7"/>
  <c r="AI11" i="7"/>
  <c r="AI9" i="7"/>
  <c r="AI8" i="7"/>
  <c r="AI7" i="7"/>
  <c r="AI4" i="7"/>
  <c r="AI10" i="7"/>
  <c r="AI128" i="7" l="1"/>
  <c r="AI133" i="7" s="1"/>
  <c r="AI129" i="7"/>
  <c r="AI134" i="7" s="1"/>
  <c r="AH109" i="7"/>
  <c r="AI116" i="7"/>
  <c r="AH115" i="7"/>
  <c r="AH114" i="7"/>
  <c r="AH108" i="7"/>
  <c r="AH111" i="7"/>
  <c r="AH112" i="7"/>
  <c r="AH113" i="7"/>
  <c r="AH110" i="7"/>
  <c r="AJ11" i="7"/>
  <c r="AJ8" i="7"/>
  <c r="AK12" i="7"/>
  <c r="AJ10" i="7"/>
  <c r="AJ9" i="7"/>
  <c r="AJ6" i="7"/>
  <c r="AJ4" i="7"/>
  <c r="AJ7" i="7"/>
  <c r="AJ5" i="7"/>
  <c r="AJ129" i="7" l="1"/>
  <c r="AJ134" i="7" s="1"/>
  <c r="AJ128" i="7"/>
  <c r="AJ133" i="7" s="1"/>
  <c r="AI113" i="7"/>
  <c r="AI115" i="7"/>
  <c r="AJ116" i="7"/>
  <c r="AI109" i="7"/>
  <c r="AI110" i="7"/>
  <c r="AI114" i="7"/>
  <c r="AI111" i="7"/>
  <c r="AI112" i="7"/>
  <c r="AI108" i="7"/>
  <c r="AK6" i="7"/>
  <c r="AK9" i="7"/>
  <c r="AL12" i="7"/>
  <c r="AK8" i="7"/>
  <c r="AK10" i="7"/>
  <c r="AK5" i="7"/>
  <c r="AK7" i="7"/>
  <c r="AK4" i="7"/>
  <c r="AK11" i="7"/>
  <c r="AK128" i="7" l="1"/>
  <c r="AK133" i="7" s="1"/>
  <c r="AK129" i="7"/>
  <c r="AK134" i="7" s="1"/>
  <c r="AJ109" i="7"/>
  <c r="AK116" i="7"/>
  <c r="AJ112" i="7"/>
  <c r="AJ113" i="7"/>
  <c r="AJ115" i="7"/>
  <c r="AJ110" i="7"/>
  <c r="AJ108" i="7"/>
  <c r="AJ114" i="7"/>
  <c r="AJ111" i="7"/>
  <c r="AL8" i="7"/>
  <c r="AM12" i="7"/>
  <c r="AL5" i="7"/>
  <c r="AL9" i="7"/>
  <c r="AL11" i="7"/>
  <c r="AL10" i="7"/>
  <c r="AL4" i="7"/>
  <c r="AL7" i="7"/>
  <c r="AL6" i="7"/>
  <c r="AL128" i="7" l="1"/>
  <c r="AL133" i="7" s="1"/>
  <c r="AL129" i="7"/>
  <c r="AL134" i="7" s="1"/>
  <c r="AK115" i="7"/>
  <c r="AK112" i="7"/>
  <c r="AK109" i="7"/>
  <c r="AL116" i="7"/>
  <c r="AK111" i="7"/>
  <c r="AK114" i="7"/>
  <c r="AK113" i="7"/>
  <c r="AK110" i="7"/>
  <c r="AK108" i="7"/>
  <c r="AM10" i="7"/>
  <c r="AM6" i="7"/>
  <c r="AM11" i="7"/>
  <c r="AN12" i="7"/>
  <c r="AM9" i="7"/>
  <c r="AM5" i="7"/>
  <c r="AM7" i="7"/>
  <c r="AM4" i="7"/>
  <c r="AM8" i="7"/>
  <c r="AM129" i="7" l="1"/>
  <c r="AM134" i="7" s="1"/>
  <c r="AM128" i="7"/>
  <c r="AM133" i="7" s="1"/>
  <c r="AL113" i="7"/>
  <c r="AL114" i="7"/>
  <c r="AL109" i="7"/>
  <c r="AM116" i="7"/>
  <c r="AL110" i="7"/>
  <c r="AL112" i="7"/>
  <c r="AL108" i="7"/>
  <c r="AL115" i="7"/>
  <c r="AL111" i="7"/>
  <c r="AN5" i="7"/>
  <c r="AN9" i="7"/>
  <c r="AN6" i="7"/>
  <c r="AN11" i="7"/>
  <c r="AO12" i="7"/>
  <c r="AN8" i="7"/>
  <c r="AN4" i="7"/>
  <c r="AN7" i="7"/>
  <c r="AN10" i="7"/>
  <c r="AN129" i="7" l="1"/>
  <c r="AN134" i="7" s="1"/>
  <c r="AN128" i="7"/>
  <c r="AN133" i="7" s="1"/>
  <c r="AM110" i="7"/>
  <c r="AN116" i="7"/>
  <c r="AM113" i="7"/>
  <c r="AM112" i="7"/>
  <c r="AM115" i="7"/>
  <c r="AM109" i="7"/>
  <c r="AM114" i="7"/>
  <c r="AM111" i="7"/>
  <c r="AM108" i="7"/>
  <c r="AO11" i="7"/>
  <c r="AP12" i="7"/>
  <c r="AO9" i="7"/>
  <c r="AO8" i="7"/>
  <c r="AO6" i="7"/>
  <c r="AO10" i="7"/>
  <c r="AO7" i="7"/>
  <c r="AO4" i="7"/>
  <c r="AO5" i="7"/>
  <c r="AO129" i="7" l="1"/>
  <c r="AO134" i="7" s="1"/>
  <c r="AO128" i="7"/>
  <c r="AO133" i="7" s="1"/>
  <c r="AN114" i="7"/>
  <c r="AN110" i="7"/>
  <c r="AN108" i="7"/>
  <c r="AN112" i="7"/>
  <c r="AN113" i="7"/>
  <c r="AN115" i="7"/>
  <c r="AN109" i="7"/>
  <c r="AN111" i="7"/>
  <c r="AP6" i="7"/>
  <c r="AO116" i="7"/>
  <c r="AP10" i="7"/>
  <c r="AP9" i="7"/>
  <c r="AP8" i="7"/>
  <c r="AP5" i="7"/>
  <c r="AP4" i="7"/>
  <c r="AP7" i="7"/>
  <c r="AP11" i="7"/>
  <c r="AP128" i="7" l="1"/>
  <c r="AP133" i="7" s="1"/>
  <c r="AP129" i="7"/>
  <c r="AP134" i="7" s="1"/>
  <c r="AO108" i="7"/>
  <c r="AO113" i="7"/>
  <c r="AO112" i="7"/>
  <c r="AO111" i="7"/>
  <c r="AO109" i="7"/>
  <c r="AO114" i="7"/>
  <c r="AO110" i="7"/>
  <c r="AO115" i="7"/>
  <c r="BK17" i="9" l="1"/>
  <c r="M17" i="8"/>
  <c r="C71" i="5" a="1"/>
  <c r="O17" i="7"/>
  <c r="Q104" i="5" l="1"/>
  <c r="U103" i="5"/>
  <c r="AG103" i="5"/>
  <c r="R104" i="5"/>
  <c r="AD104" i="5"/>
  <c r="AP104" i="5"/>
  <c r="AA105" i="5"/>
  <c r="AM105" i="5"/>
  <c r="X106" i="5"/>
  <c r="AJ106" i="5"/>
  <c r="V103" i="5"/>
  <c r="AH103" i="5"/>
  <c r="S104" i="5"/>
  <c r="AE104" i="5"/>
  <c r="P105" i="5"/>
  <c r="AB105" i="5"/>
  <c r="AN105" i="5"/>
  <c r="Y106" i="5"/>
  <c r="AK106" i="5"/>
  <c r="AH104" i="5"/>
  <c r="AB106" i="5"/>
  <c r="AN103" i="5"/>
  <c r="AH105" i="5"/>
  <c r="O104" i="5"/>
  <c r="AO103" i="5"/>
  <c r="W105" i="5"/>
  <c r="O105" i="5"/>
  <c r="P104" i="5"/>
  <c r="Y105" i="5"/>
  <c r="AH106" i="5"/>
  <c r="AC104" i="5"/>
  <c r="W106" i="5"/>
  <c r="AF103" i="5"/>
  <c r="W103" i="5"/>
  <c r="AI103" i="5"/>
  <c r="T104" i="5"/>
  <c r="AF104" i="5"/>
  <c r="Q105" i="5"/>
  <c r="AC105" i="5"/>
  <c r="AO105" i="5"/>
  <c r="Z106" i="5"/>
  <c r="AL106" i="5"/>
  <c r="X103" i="5"/>
  <c r="AJ103" i="5"/>
  <c r="U104" i="5"/>
  <c r="AG104" i="5"/>
  <c r="R105" i="5"/>
  <c r="AD105" i="5"/>
  <c r="AP105" i="5"/>
  <c r="AA106" i="5"/>
  <c r="AM106" i="5"/>
  <c r="Y103" i="5"/>
  <c r="AK103" i="5"/>
  <c r="V104" i="5"/>
  <c r="S105" i="5"/>
  <c r="AE105" i="5"/>
  <c r="P106" i="5"/>
  <c r="AN106" i="5"/>
  <c r="AB103" i="5"/>
  <c r="Y104" i="5"/>
  <c r="V105" i="5"/>
  <c r="S106" i="5"/>
  <c r="AC103" i="5"/>
  <c r="Z104" i="5"/>
  <c r="AI105" i="5"/>
  <c r="AF106" i="5"/>
  <c r="AD103" i="5"/>
  <c r="AP103" i="5"/>
  <c r="AM104" i="5"/>
  <c r="AJ105" i="5"/>
  <c r="AG106" i="5"/>
  <c r="S103" i="5"/>
  <c r="AN104" i="5"/>
  <c r="V106" i="5"/>
  <c r="T103" i="5"/>
  <c r="Z105" i="5"/>
  <c r="Z103" i="5"/>
  <c r="AL103" i="5"/>
  <c r="W104" i="5"/>
  <c r="AI104" i="5"/>
  <c r="T105" i="5"/>
  <c r="AF105" i="5"/>
  <c r="Q106" i="5"/>
  <c r="AC106" i="5"/>
  <c r="AO106" i="5"/>
  <c r="AA103" i="5"/>
  <c r="AM103" i="5"/>
  <c r="X104" i="5"/>
  <c r="AJ104" i="5"/>
  <c r="U105" i="5"/>
  <c r="AG105" i="5"/>
  <c r="R106" i="5"/>
  <c r="AD106" i="5"/>
  <c r="AP106" i="5"/>
  <c r="P103" i="5"/>
  <c r="AK104" i="5"/>
  <c r="AE106" i="5"/>
  <c r="Q103" i="5"/>
  <c r="AL104" i="5"/>
  <c r="T106" i="5"/>
  <c r="R103" i="5"/>
  <c r="AA104" i="5"/>
  <c r="X105" i="5"/>
  <c r="U106" i="5"/>
  <c r="O106" i="5"/>
  <c r="AE103" i="5"/>
  <c r="AB104" i="5"/>
  <c r="AK105" i="5"/>
  <c r="O103" i="5"/>
  <c r="AO104" i="5"/>
  <c r="AL105" i="5"/>
  <c r="AI106" i="5"/>
  <c r="AJ17" i="8"/>
  <c r="O131" i="7"/>
  <c r="O136" i="7" s="1"/>
  <c r="O36" i="7"/>
  <c r="N121" i="7"/>
  <c r="C71" i="5"/>
  <c r="AH17" i="8"/>
  <c r="BF17" i="8" s="1"/>
  <c r="BF22" i="8" s="1"/>
  <c r="BD23" i="8" s="1"/>
  <c r="AF42" i="8" l="1"/>
  <c r="AZ42" i="8" s="1"/>
  <c r="AH23" i="8"/>
  <c r="AF24" i="8" s="1"/>
  <c r="AJ42" i="8"/>
  <c r="BH17" i="8"/>
  <c r="BH22" i="8" s="1"/>
  <c r="BH23" i="8" s="1"/>
  <c r="AJ23" i="8"/>
  <c r="AJ24" i="8" s="1"/>
  <c r="AF42" i="5"/>
  <c r="AD41" i="5"/>
  <c r="AJ42" i="5"/>
  <c r="AF36" i="5"/>
  <c r="AA40" i="5"/>
  <c r="AI41" i="5"/>
  <c r="AG37" i="5"/>
  <c r="AB34" i="5"/>
  <c r="AE41" i="5"/>
  <c r="AC33" i="5"/>
  <c r="AA34" i="5"/>
  <c r="AD34" i="5"/>
  <c r="AF37" i="5"/>
  <c r="AB39" i="5"/>
  <c r="AD39" i="5"/>
  <c r="AD40" i="5"/>
  <c r="AC34" i="5"/>
  <c r="AE39" i="5"/>
  <c r="AL40" i="5"/>
  <c r="AJ39" i="5"/>
  <c r="AA33" i="5"/>
  <c r="AD42" i="5"/>
  <c r="AB36" i="5"/>
  <c r="AG39" i="5"/>
  <c r="AC36" i="5"/>
  <c r="AK42" i="5"/>
  <c r="AD32" i="5"/>
  <c r="AD37" i="5"/>
  <c r="AD31" i="5"/>
  <c r="AC39" i="5"/>
  <c r="AA39" i="5"/>
  <c r="AC32" i="5"/>
  <c r="AG38" i="5"/>
  <c r="AB38" i="5"/>
  <c r="AH39" i="5"/>
  <c r="AD38" i="5"/>
  <c r="AI40" i="5"/>
  <c r="AA32" i="5"/>
  <c r="AA38" i="5"/>
  <c r="AG42" i="5"/>
  <c r="AI39" i="5"/>
  <c r="AH40" i="5"/>
  <c r="AF40" i="5"/>
  <c r="AL41" i="5"/>
  <c r="AF39" i="5"/>
  <c r="AC41" i="5"/>
  <c r="AJ41" i="5"/>
  <c r="AB35" i="5"/>
  <c r="AH35" i="5"/>
  <c r="AA36" i="5"/>
  <c r="AA31" i="5"/>
  <c r="AB31" i="5"/>
  <c r="AF35" i="5"/>
  <c r="AF38" i="5"/>
  <c r="AA35" i="5"/>
  <c r="AL39" i="5"/>
  <c r="AH38" i="5"/>
  <c r="AB32" i="5"/>
  <c r="AE35" i="5"/>
  <c r="AE37" i="5"/>
  <c r="AC35" i="5"/>
  <c r="AH36" i="5"/>
  <c r="AK40" i="5"/>
  <c r="AB33" i="5"/>
  <c r="AJ40" i="5"/>
  <c r="AB37" i="5"/>
  <c r="AI42" i="5"/>
  <c r="AH42" i="5"/>
  <c r="AE38" i="5"/>
  <c r="AA41" i="5"/>
  <c r="AC42" i="5"/>
  <c r="AK41" i="5"/>
  <c r="AD35" i="5"/>
  <c r="AE40" i="5"/>
  <c r="AA42" i="5"/>
  <c r="AC40" i="5"/>
  <c r="AB40" i="5"/>
  <c r="AH41" i="5"/>
  <c r="AG40" i="5"/>
  <c r="AG41" i="5"/>
  <c r="AC31" i="5"/>
  <c r="AD33" i="5"/>
  <c r="AC38" i="5"/>
  <c r="AB41" i="5"/>
  <c r="AE42" i="5"/>
  <c r="AH37" i="5"/>
  <c r="AE36" i="5"/>
  <c r="AB42" i="5"/>
  <c r="AF41" i="5"/>
  <c r="AA37" i="5"/>
  <c r="AK39" i="5"/>
  <c r="AG36" i="5"/>
  <c r="AG35" i="5"/>
  <c r="AL42" i="5"/>
  <c r="AC37" i="5"/>
  <c r="AD3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<sst xmlns="http://schemas.openxmlformats.org/spreadsheetml/2006/main" count="576" uniqueCount="103">
  <si>
    <t>Aglis Aircargo</t>
  </si>
  <si>
    <t>PSA Group 1</t>
  </si>
  <si>
    <t>Market Share Calculation</t>
  </si>
  <si>
    <t>Table of Contents</t>
  </si>
  <si>
    <t>1. Route Selection</t>
  </si>
  <si>
    <t>2. SUB-PLM</t>
  </si>
  <si>
    <t>3. SRG-MDC</t>
  </si>
  <si>
    <t>4. Aircraft Data</t>
  </si>
  <si>
    <t>Asumption</t>
  </si>
  <si>
    <t>Reference Document</t>
  </si>
  <si>
    <t>1. Statistik KKP</t>
  </si>
  <si>
    <t>2. Data Populasi Indonesia</t>
  </si>
  <si>
    <t>Market Share</t>
  </si>
  <si>
    <t>Market Share Increment</t>
  </si>
  <si>
    <t>CGK-PKY</t>
  </si>
  <si>
    <t>PLM-SUB</t>
  </si>
  <si>
    <t>PKY-CGK</t>
  </si>
  <si>
    <t>SUB-CGK</t>
  </si>
  <si>
    <t>CGK-PLM</t>
  </si>
  <si>
    <t>SRG-KDI</t>
  </si>
  <si>
    <t>MDC-SRG</t>
  </si>
  <si>
    <t>KDI-PNK</t>
  </si>
  <si>
    <t>PNK-MDC</t>
  </si>
  <si>
    <t>CGK-TTE</t>
  </si>
  <si>
    <t>TTE-KNO</t>
  </si>
  <si>
    <t>KNO-PKU</t>
  </si>
  <si>
    <t>PKU-BDO</t>
  </si>
  <si>
    <t>PKU-CGK</t>
  </si>
  <si>
    <t>BDO-TTE</t>
  </si>
  <si>
    <t>CGK-LOP</t>
  </si>
  <si>
    <t>LOP-TIM</t>
  </si>
  <si>
    <t>TIM-AMQ</t>
  </si>
  <si>
    <t>AMQ-CGK</t>
  </si>
  <si>
    <t>Aglis Market Share</t>
  </si>
  <si>
    <t xml:space="preserve">    Cells(j, "AC").GoalSeek Goal:=Cells(i, "C"), ChangingCell:=Cells(j, "C")</t>
  </si>
  <si>
    <t>MARKET SHARE INCREMENT</t>
  </si>
  <si>
    <t>AMAN ROTASI 3 ROTASI 4</t>
  </si>
  <si>
    <t>Total Tonnage</t>
  </si>
  <si>
    <t>Escalation</t>
  </si>
  <si>
    <t>Lion Air</t>
  </si>
  <si>
    <t>escalation rotasi 3 &amp; 4</t>
  </si>
  <si>
    <t>Aglis Total Tonnage Adi</t>
  </si>
  <si>
    <t>2022 Q1</t>
  </si>
  <si>
    <t>2022 Q2</t>
  </si>
  <si>
    <t>2022 Q3</t>
  </si>
  <si>
    <t>2022 Q4</t>
  </si>
  <si>
    <t>2023 Q1</t>
  </si>
  <si>
    <t>2023 Q2</t>
  </si>
  <si>
    <t>2023 Q3</t>
  </si>
  <si>
    <t>2023 Q4</t>
  </si>
  <si>
    <t>2024 Q1</t>
  </si>
  <si>
    <t>2024 Q2</t>
  </si>
  <si>
    <t>2024 Q3</t>
  </si>
  <si>
    <t>2024 Q4</t>
  </si>
  <si>
    <t>2025 Q1</t>
  </si>
  <si>
    <t>2025 Q2</t>
  </si>
  <si>
    <t>2025 Q3</t>
  </si>
  <si>
    <t>2025 Q4</t>
  </si>
  <si>
    <t>2026 Q1</t>
  </si>
  <si>
    <t>2026 Q2</t>
  </si>
  <si>
    <t>2026 Q3</t>
  </si>
  <si>
    <t>2026 Q4</t>
  </si>
  <si>
    <t>good when increment 4.5% total tonage</t>
  </si>
  <si>
    <t>Aglis Total Tonnage</t>
  </si>
  <si>
    <t>No</t>
  </si>
  <si>
    <t>O-D</t>
  </si>
  <si>
    <t>Stage Length (Km)</t>
  </si>
  <si>
    <t>marketshare</t>
  </si>
  <si>
    <t>load factor</t>
  </si>
  <si>
    <t>SUB-PKY</t>
  </si>
  <si>
    <t>SRG-AMQ</t>
  </si>
  <si>
    <t>CGK-MDC</t>
  </si>
  <si>
    <t>KNO-BDO</t>
  </si>
  <si>
    <t>SWQ-TIM</t>
  </si>
  <si>
    <t>TIM-KDI</t>
  </si>
  <si>
    <t>PNK-SWQ</t>
  </si>
  <si>
    <t>Freight Tonnes Kilometer (FTK)</t>
  </si>
  <si>
    <t>REVENUE AIRBUS A321 P2F</t>
  </si>
  <si>
    <t>-</t>
  </si>
  <si>
    <t>CARGO YIELD (dollar/km)</t>
  </si>
  <si>
    <t>Rotation 1</t>
  </si>
  <si>
    <t>Rotation 2</t>
  </si>
  <si>
    <t>Rotation 3</t>
  </si>
  <si>
    <t>Rotation 4</t>
  </si>
  <si>
    <t>Aglis No of Aircraft</t>
  </si>
  <si>
    <t>Aglis Load Factor</t>
  </si>
  <si>
    <t>Aglis Ton Carried</t>
  </si>
  <si>
    <t>Total Capasity (Ton)</t>
  </si>
  <si>
    <t>AVERAGE</t>
  </si>
  <si>
    <t>MAX / YEAR</t>
  </si>
  <si>
    <t>Target BEP Load Factor</t>
  </si>
  <si>
    <t>Price per Kilogram year 3</t>
  </si>
  <si>
    <t>($/trip)/rev payload</t>
  </si>
  <si>
    <t xml:space="preserve">Load Factor 2024 - Load Factor BEP </t>
  </si>
  <si>
    <t>Rotation</t>
  </si>
  <si>
    <t>Aglis's FF</t>
  </si>
  <si>
    <t>BEP Load Factor</t>
  </si>
  <si>
    <t>AGLIS</t>
  </si>
  <si>
    <t>Citilink</t>
  </si>
  <si>
    <t>Batik Air</t>
  </si>
  <si>
    <t>Garuda Indonesia</t>
  </si>
  <si>
    <t>Others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</si>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</sst>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;\-0;\-;@\,"/>
    <numFmt numFmtId="166" formatCode="0;\-0;\-;@\,"/>
    <numFmt numFmtId="167" formatCode="0%;\-0;\-"/>
    <numFmt numFmtId="168" formatCode="&quot;$&quot;#,##0.0"/>
    <numFmt numFmtId="169" formatCode="&quot;$&quot;#,##0.00"/>
    <numFmt numFmtId="170" formatCode="0.0;\-0.0;\-"/>
    <numFmt numFmtId="171" formatCode="0.00_);\(0.00\)"/>
    <numFmt numFmtId="172" formatCode="0.0%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rgb="FF0000FF"/>
      <name val="Arial"/>
      <family val="2"/>
    </font>
    <font>
      <u/>
      <sz val="10"/>
      <color theme="10"/>
      <name val="Arial"/>
      <family val="2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32E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11" fillId="0" borderId="13" applyNumberFormat="0" applyFill="0" applyAlignment="0" applyProtection="0"/>
  </cellStyleXfs>
  <cellXfs count="178">
    <xf numFmtId="0" fontId="0" fillId="0" borderId="0" xfId="0"/>
    <xf numFmtId="0" fontId="3" fillId="2" borderId="0" xfId="3" applyFont="1" applyFill="1"/>
    <xf numFmtId="0" fontId="4" fillId="0" borderId="0" xfId="3" applyFont="1"/>
    <xf numFmtId="0" fontId="5" fillId="0" borderId="0" xfId="3" applyFont="1" applyAlignment="1">
      <alignment horizontal="right"/>
    </xf>
    <xf numFmtId="0" fontId="5" fillId="0" borderId="0" xfId="3" applyFont="1" applyProtection="1">
      <protection locked="0"/>
    </xf>
    <xf numFmtId="0" fontId="5" fillId="0" borderId="0" xfId="3" applyFont="1"/>
    <xf numFmtId="0" fontId="5" fillId="0" borderId="1" xfId="3" applyFont="1" applyBorder="1" applyProtection="1">
      <protection locked="0"/>
    </xf>
    <xf numFmtId="0" fontId="6" fillId="0" borderId="0" xfId="2" quotePrefix="1" applyFont="1" applyFill="1" applyProtection="1">
      <protection locked="0"/>
    </xf>
    <xf numFmtId="0" fontId="4" fillId="3" borderId="0" xfId="3" applyFont="1" applyFill="1"/>
    <xf numFmtId="0" fontId="5" fillId="0" borderId="1" xfId="3" applyFont="1" applyBorder="1"/>
    <xf numFmtId="0" fontId="4" fillId="0" borderId="1" xfId="3" applyFont="1" applyBorder="1"/>
    <xf numFmtId="0" fontId="4" fillId="0" borderId="0" xfId="3" applyFont="1" applyAlignment="1">
      <alignment horizontal="right"/>
    </xf>
    <xf numFmtId="0" fontId="4" fillId="0" borderId="0" xfId="3" applyFont="1" applyAlignment="1">
      <alignment horizontal="left"/>
    </xf>
    <xf numFmtId="0" fontId="4" fillId="0" borderId="0" xfId="4" applyFont="1" applyBorder="1"/>
    <xf numFmtId="164" fontId="0" fillId="0" borderId="0" xfId="0" applyNumberFormat="1"/>
    <xf numFmtId="165" fontId="0" fillId="0" borderId="0" xfId="0" applyNumberFormat="1"/>
    <xf numFmtId="164" fontId="8" fillId="0" borderId="0" xfId="0" applyNumberFormat="1" applyFont="1"/>
    <xf numFmtId="9" fontId="0" fillId="0" borderId="0" xfId="0" applyNumberFormat="1"/>
    <xf numFmtId="166" fontId="0" fillId="0" borderId="0" xfId="0" applyNumberFormat="1" applyAlignment="1">
      <alignment horizontal="center" vertical="center"/>
    </xf>
    <xf numFmtId="0" fontId="0" fillId="0" borderId="2" xfId="0" applyBorder="1"/>
    <xf numFmtId="9" fontId="0" fillId="0" borderId="2" xfId="0" applyNumberFormat="1" applyBorder="1"/>
    <xf numFmtId="0" fontId="0" fillId="7" borderId="2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2" fontId="0" fillId="7" borderId="7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2" fontId="0" fillId="7" borderId="9" xfId="0" applyNumberFormat="1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2" fontId="0" fillId="9" borderId="9" xfId="0" applyNumberFormat="1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9" fillId="10" borderId="2" xfId="0" applyFont="1" applyFill="1" applyBorder="1" applyAlignment="1">
      <alignment horizontal="center"/>
    </xf>
    <xf numFmtId="2" fontId="9" fillId="10" borderId="9" xfId="0" applyNumberFormat="1" applyFon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9" fillId="6" borderId="2" xfId="0" applyFont="1" applyFill="1" applyBorder="1" applyAlignment="1">
      <alignment horizontal="center"/>
    </xf>
    <xf numFmtId="2" fontId="9" fillId="6" borderId="9" xfId="0" applyNumberFormat="1" applyFon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9" fillId="6" borderId="11" xfId="0" applyFont="1" applyFill="1" applyBorder="1" applyAlignment="1">
      <alignment horizontal="center"/>
    </xf>
    <xf numFmtId="2" fontId="9" fillId="6" borderId="12" xfId="0" applyNumberFormat="1" applyFont="1" applyFill="1" applyBorder="1" applyAlignment="1">
      <alignment horizontal="center"/>
    </xf>
    <xf numFmtId="0" fontId="9" fillId="0" borderId="0" xfId="0" applyFont="1"/>
    <xf numFmtId="168" fontId="9" fillId="0" borderId="0" xfId="0" applyNumberFormat="1" applyFont="1"/>
    <xf numFmtId="0" fontId="0" fillId="0" borderId="0" xfId="0" applyAlignment="1">
      <alignment vertical="center"/>
    </xf>
    <xf numFmtId="169" fontId="0" fillId="0" borderId="0" xfId="0" applyNumberFormat="1"/>
    <xf numFmtId="0" fontId="0" fillId="3" borderId="2" xfId="0" applyFill="1" applyBorder="1"/>
    <xf numFmtId="167" fontId="0" fillId="0" borderId="2" xfId="1" applyNumberFormat="1" applyFont="1" applyBorder="1"/>
    <xf numFmtId="170" fontId="0" fillId="0" borderId="2" xfId="1" applyNumberFormat="1" applyFont="1" applyBorder="1"/>
    <xf numFmtId="0" fontId="12" fillId="15" borderId="2" xfId="0" applyFont="1" applyFill="1" applyBorder="1"/>
    <xf numFmtId="0" fontId="0" fillId="7" borderId="9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9" fillId="5" borderId="9" xfId="0" applyFont="1" applyFill="1" applyBorder="1" applyAlignment="1">
      <alignment horizontal="center"/>
    </xf>
    <xf numFmtId="0" fontId="9" fillId="16" borderId="9" xfId="0" applyFont="1" applyFill="1" applyBorder="1" applyAlignment="1">
      <alignment horizontal="center"/>
    </xf>
    <xf numFmtId="0" fontId="9" fillId="9" borderId="9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5" borderId="2" xfId="0" applyFill="1" applyBorder="1" applyAlignment="1">
      <alignment horizontal="center"/>
    </xf>
    <xf numFmtId="10" fontId="11" fillId="0" borderId="0" xfId="5" applyNumberFormat="1" applyBorder="1" applyAlignment="1"/>
    <xf numFmtId="10" fontId="0" fillId="0" borderId="0" xfId="0" applyNumberFormat="1"/>
    <xf numFmtId="10" fontId="11" fillId="0" borderId="2" xfId="5" applyNumberFormat="1" applyBorder="1" applyAlignment="1"/>
    <xf numFmtId="0" fontId="11" fillId="0" borderId="2" xfId="5" applyNumberFormat="1" applyBorder="1" applyAlignment="1"/>
    <xf numFmtId="0" fontId="12" fillId="15" borderId="17" xfId="0" applyFont="1" applyFill="1" applyBorder="1"/>
    <xf numFmtId="0" fontId="12" fillId="15" borderId="6" xfId="0" applyFont="1" applyFill="1" applyBorder="1"/>
    <xf numFmtId="0" fontId="9" fillId="5" borderId="2" xfId="0" applyFont="1" applyFill="1" applyBorder="1" applyAlignment="1">
      <alignment horizontal="center"/>
    </xf>
    <xf numFmtId="0" fontId="9" fillId="16" borderId="2" xfId="0" applyFont="1" applyFill="1" applyBorder="1" applyAlignment="1">
      <alignment horizontal="center"/>
    </xf>
    <xf numFmtId="0" fontId="9" fillId="9" borderId="2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9" fontId="0" fillId="0" borderId="0" xfId="1" applyFont="1"/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center"/>
    </xf>
    <xf numFmtId="169" fontId="0" fillId="0" borderId="6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9" fontId="0" fillId="0" borderId="24" xfId="0" applyNumberFormat="1" applyBorder="1" applyAlignment="1">
      <alignment horizontal="center"/>
    </xf>
    <xf numFmtId="169" fontId="0" fillId="0" borderId="25" xfId="0" applyNumberFormat="1" applyBorder="1" applyAlignment="1">
      <alignment horizontal="center"/>
    </xf>
    <xf numFmtId="169" fontId="0" fillId="0" borderId="26" xfId="0" applyNumberFormat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11" fillId="0" borderId="0" xfId="0" applyFont="1"/>
    <xf numFmtId="2" fontId="9" fillId="0" borderId="2" xfId="0" applyNumberFormat="1" applyFont="1" applyBorder="1" applyAlignment="1">
      <alignment horizontal="center"/>
    </xf>
    <xf numFmtId="2" fontId="9" fillId="0" borderId="0" xfId="0" applyNumberFormat="1" applyFont="1" applyAlignment="1">
      <alignment horizontal="center"/>
    </xf>
    <xf numFmtId="2" fontId="9" fillId="19" borderId="2" xfId="0" applyNumberFormat="1" applyFont="1" applyFill="1" applyBorder="1" applyAlignment="1">
      <alignment horizontal="center"/>
    </xf>
    <xf numFmtId="2" fontId="0" fillId="0" borderId="0" xfId="0" applyNumberFormat="1"/>
    <xf numFmtId="171" fontId="0" fillId="0" borderId="0" xfId="0" applyNumberFormat="1"/>
    <xf numFmtId="172" fontId="0" fillId="0" borderId="2" xfId="0" applyNumberFormat="1" applyBorder="1"/>
    <xf numFmtId="172" fontId="0" fillId="0" borderId="0" xfId="0" applyNumberFormat="1"/>
    <xf numFmtId="2" fontId="0" fillId="0" borderId="2" xfId="0" applyNumberFormat="1" applyBorder="1"/>
    <xf numFmtId="2" fontId="0" fillId="19" borderId="2" xfId="0" applyNumberFormat="1" applyFill="1" applyBorder="1"/>
    <xf numFmtId="10" fontId="0" fillId="0" borderId="2" xfId="0" applyNumberFormat="1" applyBorder="1" applyAlignment="1">
      <alignment horizontal="center"/>
    </xf>
    <xf numFmtId="10" fontId="0" fillId="0" borderId="2" xfId="0" applyNumberFormat="1" applyBorder="1"/>
    <xf numFmtId="0" fontId="0" fillId="0" borderId="14" xfId="0" applyBorder="1"/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0" fontId="0" fillId="0" borderId="8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0" fillId="19" borderId="8" xfId="0" applyNumberFormat="1" applyFill="1" applyBorder="1" applyAlignment="1">
      <alignment horizontal="center"/>
    </xf>
    <xf numFmtId="10" fontId="0" fillId="19" borderId="2" xfId="0" applyNumberFormat="1" applyFill="1" applyBorder="1" applyAlignment="1">
      <alignment horizontal="center"/>
    </xf>
    <xf numFmtId="10" fontId="0" fillId="19" borderId="2" xfId="0" applyNumberFormat="1" applyFill="1" applyBorder="1"/>
    <xf numFmtId="9" fontId="0" fillId="0" borderId="2" xfId="1" applyFont="1" applyBorder="1" applyAlignment="1">
      <alignment horizontal="center"/>
    </xf>
    <xf numFmtId="0" fontId="0" fillId="0" borderId="31" xfId="0" applyBorder="1"/>
    <xf numFmtId="164" fontId="14" fillId="0" borderId="0" xfId="0" applyNumberFormat="1" applyFont="1"/>
    <xf numFmtId="171" fontId="0" fillId="19" borderId="0" xfId="0" applyNumberFormat="1" applyFill="1"/>
    <xf numFmtId="164" fontId="15" fillId="0" borderId="0" xfId="0" applyNumberFormat="1" applyFont="1"/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9" fillId="12" borderId="19" xfId="0" applyFont="1" applyFill="1" applyBorder="1" applyAlignment="1">
      <alignment horizontal="center"/>
    </xf>
    <xf numFmtId="0" fontId="9" fillId="12" borderId="0" xfId="0" applyFont="1" applyFill="1" applyAlignment="1">
      <alignment horizontal="center"/>
    </xf>
    <xf numFmtId="0" fontId="9" fillId="12" borderId="32" xfId="0" applyFont="1" applyFill="1" applyBorder="1" applyAlignment="1">
      <alignment horizontal="center"/>
    </xf>
    <xf numFmtId="0" fontId="9" fillId="13" borderId="1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0" fontId="9" fillId="13" borderId="32" xfId="0" applyFont="1" applyFill="1" applyBorder="1" applyAlignment="1">
      <alignment horizontal="center"/>
    </xf>
    <xf numFmtId="0" fontId="9" fillId="14" borderId="19" xfId="0" applyFont="1" applyFill="1" applyBorder="1" applyAlignment="1">
      <alignment horizontal="center"/>
    </xf>
    <xf numFmtId="0" fontId="9" fillId="14" borderId="0" xfId="0" applyFont="1" applyFill="1" applyAlignment="1">
      <alignment horizontal="center"/>
    </xf>
    <xf numFmtId="0" fontId="9" fillId="14" borderId="32" xfId="0" applyFont="1" applyFill="1" applyBorder="1" applyAlignment="1">
      <alignment horizontal="center"/>
    </xf>
    <xf numFmtId="0" fontId="9" fillId="12" borderId="19" xfId="0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2" borderId="28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9" fillId="12" borderId="28" xfId="0" applyFont="1" applyFill="1" applyBorder="1" applyAlignment="1">
      <alignment horizontal="center"/>
    </xf>
    <xf numFmtId="0" fontId="9" fillId="12" borderId="29" xfId="0" applyFont="1" applyFill="1" applyBorder="1" applyAlignment="1">
      <alignment horizontal="center"/>
    </xf>
    <xf numFmtId="0" fontId="9" fillId="12" borderId="30" xfId="0" applyFont="1" applyFill="1" applyBorder="1" applyAlignment="1">
      <alignment horizontal="center"/>
    </xf>
    <xf numFmtId="0" fontId="9" fillId="13" borderId="28" xfId="0" applyFont="1" applyFill="1" applyBorder="1" applyAlignment="1">
      <alignment horizontal="center"/>
    </xf>
    <xf numFmtId="0" fontId="9" fillId="13" borderId="29" xfId="0" applyFont="1" applyFill="1" applyBorder="1" applyAlignment="1">
      <alignment horizontal="center"/>
    </xf>
    <xf numFmtId="0" fontId="9" fillId="13" borderId="30" xfId="0" applyFont="1" applyFill="1" applyBorder="1" applyAlignment="1">
      <alignment horizontal="center"/>
    </xf>
    <xf numFmtId="0" fontId="9" fillId="14" borderId="28" xfId="0" applyFont="1" applyFill="1" applyBorder="1" applyAlignment="1">
      <alignment horizontal="center"/>
    </xf>
    <xf numFmtId="0" fontId="9" fillId="14" borderId="29" xfId="0" applyFont="1" applyFill="1" applyBorder="1" applyAlignment="1">
      <alignment horizontal="center"/>
    </xf>
    <xf numFmtId="0" fontId="9" fillId="14" borderId="30" xfId="0" applyFont="1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8" borderId="0" xfId="0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67" fontId="0" fillId="0" borderId="2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2" fillId="15" borderId="2" xfId="0" applyFont="1" applyFill="1" applyBorder="1" applyAlignment="1">
      <alignment horizontal="center"/>
    </xf>
    <xf numFmtId="0" fontId="12" fillId="15" borderId="2" xfId="0" applyFont="1" applyFill="1" applyBorder="1" applyAlignment="1">
      <alignment horizontal="center" vertical="center"/>
    </xf>
    <xf numFmtId="10" fontId="0" fillId="0" borderId="2" xfId="0" applyNumberForma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6" xfId="0" applyBorder="1" applyAlignment="1">
      <alignment horizontal="center"/>
    </xf>
    <xf numFmtId="0" fontId="10" fillId="15" borderId="1" xfId="0" applyFont="1" applyFill="1" applyBorder="1" applyAlignment="1">
      <alignment horizontal="center"/>
    </xf>
  </cellXfs>
  <cellStyles count="6">
    <cellStyle name="Hyperlink" xfId="2" builtinId="8"/>
    <cellStyle name="Hyperlink 2 2" xfId="4" xr:uid="{A177735E-2B39-4195-B4FB-59AF499DE271}"/>
    <cellStyle name="Normal" xfId="0" builtinId="0"/>
    <cellStyle name="Normal 2 2 2" xfId="3" xr:uid="{1C40D58E-9EA0-4186-B38F-AF5E08972279}"/>
    <cellStyle name="Percent" xfId="1" builtinId="5"/>
    <cellStyle name="Total" xfId="5" builtinId="2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Aglis Air Capasity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'Aglis Market Share'!$C$2:$AP$3</c:f>
              <c:multiLvlStrCache>
                <c:ptCount val="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4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3</c:v>
                  </c:pt>
                  <c:pt idx="31">
                    <c:v>4</c:v>
                  </c:pt>
                  <c:pt idx="32">
                    <c:v>1</c:v>
                  </c:pt>
                  <c:pt idx="33">
                    <c:v>2</c:v>
                  </c:pt>
                  <c:pt idx="34">
                    <c:v>3</c:v>
                  </c:pt>
                  <c:pt idx="35">
                    <c:v>4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  <c:pt idx="20">
                    <c:v>2028</c:v>
                  </c:pt>
                  <c:pt idx="24">
                    <c:v>2029</c:v>
                  </c:pt>
                  <c:pt idx="28">
                    <c:v>2030</c:v>
                  </c:pt>
                  <c:pt idx="32">
                    <c:v>2031</c:v>
                  </c:pt>
                  <c:pt idx="36">
                    <c:v>2032</c:v>
                  </c:pt>
                </c:lvl>
              </c:multiLvlStrCache>
            </c:multiLvlStrRef>
          </c:cat>
          <c:val>
            <c:numRef>
              <c:f>'Aglis Market Share'!$C$21:$AP$21</c:f>
              <c:numCache>
                <c:formatCode>0%</c:formatCode>
                <c:ptCount val="40"/>
                <c:pt idx="0">
                  <c:v>0.17555555555555558</c:v>
                </c:pt>
                <c:pt idx="1">
                  <c:v>0.17864955106621772</c:v>
                </c:pt>
                <c:pt idx="2">
                  <c:v>0.18175465768799104</c:v>
                </c:pt>
                <c:pt idx="3">
                  <c:v>0.18481531986531985</c:v>
                </c:pt>
                <c:pt idx="4">
                  <c:v>0.19338569345770307</c:v>
                </c:pt>
                <c:pt idx="5">
                  <c:v>0.19751001764785284</c:v>
                </c:pt>
                <c:pt idx="6">
                  <c:v>0.20045773351300794</c:v>
                </c:pt>
                <c:pt idx="7">
                  <c:v>0.2040104202073271</c:v>
                </c:pt>
                <c:pt idx="8">
                  <c:v>0.22571055453631125</c:v>
                </c:pt>
                <c:pt idx="9">
                  <c:v>0.22872445785001821</c:v>
                </c:pt>
                <c:pt idx="10">
                  <c:v>0.23175168743345284</c:v>
                </c:pt>
                <c:pt idx="11">
                  <c:v>0.23457328305485214</c:v>
                </c:pt>
                <c:pt idx="12">
                  <c:v>0.22725420790646406</c:v>
                </c:pt>
                <c:pt idx="13">
                  <c:v>0.22780479373471177</c:v>
                </c:pt>
                <c:pt idx="14">
                  <c:v>0.23146396610693512</c:v>
                </c:pt>
                <c:pt idx="15">
                  <c:v>0.23518353603760198</c:v>
                </c:pt>
                <c:pt idx="16">
                  <c:v>0.24314838579969736</c:v>
                </c:pt>
                <c:pt idx="17">
                  <c:v>0.24672753570519906</c:v>
                </c:pt>
                <c:pt idx="18">
                  <c:v>0.25035679889240203</c:v>
                </c:pt>
                <c:pt idx="19">
                  <c:v>0.25398606207960506</c:v>
                </c:pt>
                <c:pt idx="20">
                  <c:v>0.25566890345223486</c:v>
                </c:pt>
                <c:pt idx="21">
                  <c:v>0.25655927723835459</c:v>
                </c:pt>
                <c:pt idx="22">
                  <c:v>0.25744965102447426</c:v>
                </c:pt>
                <c:pt idx="23">
                  <c:v>0.25834002481059404</c:v>
                </c:pt>
                <c:pt idx="24">
                  <c:v>0.2587483781867555</c:v>
                </c:pt>
                <c:pt idx="25">
                  <c:v>0.25875660663003847</c:v>
                </c:pt>
                <c:pt idx="26">
                  <c:v>0.25879424683802732</c:v>
                </c:pt>
                <c:pt idx="27">
                  <c:v>0.25977643161259628</c:v>
                </c:pt>
                <c:pt idx="28">
                  <c:v>0.26063008837379825</c:v>
                </c:pt>
                <c:pt idx="29">
                  <c:v>0.26077970625914265</c:v>
                </c:pt>
                <c:pt idx="30">
                  <c:v>0.26092932414448705</c:v>
                </c:pt>
                <c:pt idx="31">
                  <c:v>0.26107894202983145</c:v>
                </c:pt>
                <c:pt idx="32">
                  <c:v>0.26205886057852618</c:v>
                </c:pt>
                <c:pt idx="33">
                  <c:v>0.26261825648107157</c:v>
                </c:pt>
                <c:pt idx="34">
                  <c:v>0.26283447257025933</c:v>
                </c:pt>
                <c:pt idx="35">
                  <c:v>0.26297944064737105</c:v>
                </c:pt>
                <c:pt idx="36">
                  <c:v>0.26344690480835015</c:v>
                </c:pt>
                <c:pt idx="37">
                  <c:v>0.2646651461832436</c:v>
                </c:pt>
                <c:pt idx="38">
                  <c:v>0.26461808735971415</c:v>
                </c:pt>
                <c:pt idx="39">
                  <c:v>0.26459288906285983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68-4AC1-A3B8-653289BEE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043056"/>
        <c:axId val="298033072"/>
      </c:lineChart>
      <c:catAx>
        <c:axId val="29804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33072"/>
        <c:crosses val="autoZero"/>
        <c:auto val="1"/>
        <c:lblAlgn val="ctr"/>
        <c:lblOffset val="100"/>
        <c:noMultiLvlLbl val="0"/>
      </c:catAx>
      <c:valAx>
        <c:axId val="29803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43056"/>
        <c:crossesAt val="1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'Aglis Market Share'!$C$53:$AO$53</c:f>
              <c:numCache>
                <c:formatCode>0.00%</c:formatCode>
                <c:ptCount val="39"/>
                <c:pt idx="0">
                  <c:v>5.7000000000000097E-3</c:v>
                </c:pt>
                <c:pt idx="1">
                  <c:v>5.7000000000000071E-3</c:v>
                </c:pt>
                <c:pt idx="2">
                  <c:v>5.9000000000000007E-3</c:v>
                </c:pt>
                <c:pt idx="3">
                  <c:v>5.9000000000000007E-3</c:v>
                </c:pt>
                <c:pt idx="4">
                  <c:v>6.0000000000000001E-3</c:v>
                </c:pt>
                <c:pt idx="5">
                  <c:v>6.0000000000000001E-3</c:v>
                </c:pt>
                <c:pt idx="6">
                  <c:v>6.0999999999999995E-3</c:v>
                </c:pt>
                <c:pt idx="7">
                  <c:v>6.3E-3</c:v>
                </c:pt>
                <c:pt idx="8">
                  <c:v>6.5000000000000006E-3</c:v>
                </c:pt>
                <c:pt idx="9">
                  <c:v>6.5000000000000006E-3</c:v>
                </c:pt>
                <c:pt idx="10">
                  <c:v>6.5000000000000006E-3</c:v>
                </c:pt>
                <c:pt idx="11">
                  <c:v>5.1999999999999998E-3</c:v>
                </c:pt>
                <c:pt idx="12">
                  <c:v>5.2999999999999992E-3</c:v>
                </c:pt>
                <c:pt idx="13">
                  <c:v>5.4999999999999997E-3</c:v>
                </c:pt>
                <c:pt idx="14">
                  <c:v>5.2999999999999992E-3</c:v>
                </c:pt>
                <c:pt idx="15">
                  <c:v>5.1999999999999998E-3</c:v>
                </c:pt>
                <c:pt idx="16">
                  <c:v>5.1000000000000004E-3</c:v>
                </c:pt>
                <c:pt idx="17">
                  <c:v>5.000000000000001E-3</c:v>
                </c:pt>
                <c:pt idx="18">
                  <c:v>4.5999999999999999E-3</c:v>
                </c:pt>
                <c:pt idx="19">
                  <c:v>4.3E-3</c:v>
                </c:pt>
                <c:pt idx="20">
                  <c:v>3.4000000000000002E-3</c:v>
                </c:pt>
                <c:pt idx="21">
                  <c:v>2.8999999999999998E-3</c:v>
                </c:pt>
                <c:pt idx="22">
                  <c:v>2.1999999999999997E-3</c:v>
                </c:pt>
                <c:pt idx="23">
                  <c:v>2E-3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1.0000000000000018E-3</c:v>
                </c:pt>
                <c:pt idx="29">
                  <c:v>8.000000000000021E-4</c:v>
                </c:pt>
                <c:pt idx="30">
                  <c:v>6.0000000000000244E-4</c:v>
                </c:pt>
                <c:pt idx="31">
                  <c:v>2.0000000000000226E-4</c:v>
                </c:pt>
                <c:pt idx="32">
                  <c:v>2.0000000000000226E-4</c:v>
                </c:pt>
                <c:pt idx="33">
                  <c:v>2.0000000000000226E-4</c:v>
                </c:pt>
                <c:pt idx="34">
                  <c:v>2.0000000000000226E-4</c:v>
                </c:pt>
                <c:pt idx="35">
                  <c:v>2.0000000000000226E-4</c:v>
                </c:pt>
                <c:pt idx="36">
                  <c:v>2.0000000000000226E-4</c:v>
                </c:pt>
                <c:pt idx="37">
                  <c:v>2.0000000000000226E-4</c:v>
                </c:pt>
                <c:pt idx="38">
                  <c:v>2.0000000000000226E-4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E6-413B-97A5-3E5A1C4D9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781280"/>
        <c:axId val="842778328"/>
      </c:scatterChart>
      <c:valAx>
        <c:axId val="842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778328"/>
        <c:crosses val="autoZero"/>
        <c:crossBetween val="midCat"/>
      </c:valAx>
      <c:valAx>
        <c:axId val="84277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'Aglis Market Share'!$J$62:$AO$62</c:f>
              <c:numCache>
                <c:formatCode>0.00%</c:formatCode>
                <c:ptCount val="32"/>
                <c:pt idx="0">
                  <c:v>0</c:v>
                </c:pt>
                <c:pt idx="1">
                  <c:v>5.0000000000000001E-3</c:v>
                </c:pt>
                <c:pt idx="2">
                  <c:v>5.1000000000000004E-3</c:v>
                </c:pt>
                <c:pt idx="3">
                  <c:v>5.2000000000000006E-3</c:v>
                </c:pt>
                <c:pt idx="4">
                  <c:v>5.3000000000000009E-3</c:v>
                </c:pt>
                <c:pt idx="5">
                  <c:v>5.3000000000000009E-3</c:v>
                </c:pt>
                <c:pt idx="6">
                  <c:v>5.3000000000000009E-3</c:v>
                </c:pt>
                <c:pt idx="7">
                  <c:v>5.3000000000000009E-3</c:v>
                </c:pt>
                <c:pt idx="8">
                  <c:v>5.3000000000000009E-3</c:v>
                </c:pt>
                <c:pt idx="9">
                  <c:v>5.2000000000000006E-3</c:v>
                </c:pt>
                <c:pt idx="10">
                  <c:v>5.2000000000000006E-3</c:v>
                </c:pt>
                <c:pt idx="11">
                  <c:v>5.2000000000000006E-3</c:v>
                </c:pt>
                <c:pt idx="12">
                  <c:v>5.0000000000000001E-3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5.0000000000000001E-3</c:v>
                </c:pt>
                <c:pt idx="16">
                  <c:v>4.5999999999999999E-3</c:v>
                </c:pt>
                <c:pt idx="17">
                  <c:v>4.5999999999999999E-3</c:v>
                </c:pt>
                <c:pt idx="18">
                  <c:v>4.5999999999999999E-3</c:v>
                </c:pt>
                <c:pt idx="19">
                  <c:v>4.1999999999999997E-3</c:v>
                </c:pt>
                <c:pt idx="20">
                  <c:v>3.4999999999999996E-3</c:v>
                </c:pt>
                <c:pt idx="21">
                  <c:v>2.7999999999999995E-3</c:v>
                </c:pt>
                <c:pt idx="22">
                  <c:v>2.0999999999999994E-3</c:v>
                </c:pt>
                <c:pt idx="23">
                  <c:v>1.3999999999999993E-3</c:v>
                </c:pt>
                <c:pt idx="24">
                  <c:v>6.9999999999999923E-4</c:v>
                </c:pt>
                <c:pt idx="25">
                  <c:v>1.5999999999999938E-3</c:v>
                </c:pt>
                <c:pt idx="26">
                  <c:v>1.0999999999999933E-3</c:v>
                </c:pt>
                <c:pt idx="27">
                  <c:v>5.999999999999929E-4</c:v>
                </c:pt>
                <c:pt idx="28">
                  <c:v>9.9999999999992456E-5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2-48E4-8108-1F0ED4419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781280"/>
        <c:axId val="842778328"/>
      </c:scatterChart>
      <c:valAx>
        <c:axId val="842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778328"/>
        <c:crosses val="autoZero"/>
        <c:crossBetween val="midCat"/>
      </c:valAx>
      <c:valAx>
        <c:axId val="84277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daily Tonnage</a:t>
            </a:r>
          </a:p>
        </c:rich>
      </c:tx>
      <c:layout>
        <c:manualLayout>
          <c:xMode val="edge"/>
          <c:yMode val="edge"/>
          <c:x val="0.38047888085504444"/>
          <c:y val="1.8457478039961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'Aglis Total Tonnage'!$B$128</c:f>
              <c:strCache>
                <c:ptCount val="1"/>
                <c:pt idx="0">
                  <c:v>Rotation 1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'Aglis Total Tonnage'!$C$2:$AP$3</c:f>
              <c:multiLvlStrCache>
                <c:ptCount val="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4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3</c:v>
                  </c:pt>
                  <c:pt idx="31">
                    <c:v>4</c:v>
                  </c:pt>
                  <c:pt idx="32">
                    <c:v>1</c:v>
                  </c:pt>
                  <c:pt idx="33">
                    <c:v>2</c:v>
                  </c:pt>
                  <c:pt idx="34">
                    <c:v>3</c:v>
                  </c:pt>
                  <c:pt idx="35">
                    <c:v>4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  <c:pt idx="20">
                    <c:v>2028</c:v>
                  </c:pt>
                  <c:pt idx="24">
                    <c:v>2029</c:v>
                  </c:pt>
                  <c:pt idx="28">
                    <c:v>2030</c:v>
                  </c:pt>
                  <c:pt idx="32">
                    <c:v>2031</c:v>
                  </c:pt>
                  <c:pt idx="36">
                    <c:v>2032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'Aglis Total Tonnage'!$C$128:$AP$128</c:f>
              <c:numCache>
                <c:formatCode>0.00_);\(0.00\)</c:formatCode>
                <c:ptCount val="40"/>
                <c:pt idx="0">
                  <c:v>11.267599999999998</c:v>
                </c:pt>
                <c:pt idx="1">
                  <c:v>11.366849333333331</c:v>
                </c:pt>
                <c:pt idx="2">
                  <c:v>11.619697599999999</c:v>
                </c:pt>
                <c:pt idx="3">
                  <c:v>11.870043466666663</c:v>
                </c:pt>
                <c:pt idx="4">
                  <c:v>12.756299698972139</c:v>
                </c:pt>
                <c:pt idx="5">
                  <c:v>13.106857382219809</c:v>
                </c:pt>
                <c:pt idx="6">
                  <c:v>13.311526675308977</c:v>
                </c:pt>
                <c:pt idx="7">
                  <c:v>13.590966371477403</c:v>
                </c:pt>
                <c:pt idx="8">
                  <c:v>14.362406770894504</c:v>
                </c:pt>
                <c:pt idx="9">
                  <c:v>14.526885525224779</c:v>
                </c:pt>
                <c:pt idx="10">
                  <c:v>14.679100259429717</c:v>
                </c:pt>
                <c:pt idx="11">
                  <c:v>14.806527373888553</c:v>
                </c:pt>
                <c:pt idx="12">
                  <c:v>15.172974037429986</c:v>
                </c:pt>
                <c:pt idx="13">
                  <c:v>15.295547323105279</c:v>
                </c:pt>
                <c:pt idx="14">
                  <c:v>15.424453898124586</c:v>
                </c:pt>
                <c:pt idx="15">
                  <c:v>15.566819965655657</c:v>
                </c:pt>
                <c:pt idx="16">
                  <c:v>15.974068545350587</c:v>
                </c:pt>
                <c:pt idx="17">
                  <c:v>16.13368856723908</c:v>
                </c:pt>
                <c:pt idx="18">
                  <c:v>16.313348845140276</c:v>
                </c:pt>
                <c:pt idx="19">
                  <c:v>16.401979452277612</c:v>
                </c:pt>
                <c:pt idx="20">
                  <c:v>16.525291915975814</c:v>
                </c:pt>
                <c:pt idx="21">
                  <c:v>16.611120991419192</c:v>
                </c:pt>
                <c:pt idx="22">
                  <c:v>16.676159303342576</c:v>
                </c:pt>
                <c:pt idx="23">
                  <c:v>16.741197615265957</c:v>
                </c:pt>
                <c:pt idx="24">
                  <c:v>16.845556219282187</c:v>
                </c:pt>
                <c:pt idx="25">
                  <c:v>16.845556219282187</c:v>
                </c:pt>
                <c:pt idx="26">
                  <c:v>16.754711220221566</c:v>
                </c:pt>
                <c:pt idx="27">
                  <c:v>16.746963244843602</c:v>
                </c:pt>
                <c:pt idx="28">
                  <c:v>16.787021593313103</c:v>
                </c:pt>
                <c:pt idx="29">
                  <c:v>16.787021593313103</c:v>
                </c:pt>
                <c:pt idx="30">
                  <c:v>16.893459453536888</c:v>
                </c:pt>
                <c:pt idx="31">
                  <c:v>16.907753103456891</c:v>
                </c:pt>
                <c:pt idx="32">
                  <c:v>16.917508130225507</c:v>
                </c:pt>
                <c:pt idx="33">
                  <c:v>16.901898935363896</c:v>
                </c:pt>
                <c:pt idx="34">
                  <c:v>16.901898935363896</c:v>
                </c:pt>
                <c:pt idx="35">
                  <c:v>16.916192585283895</c:v>
                </c:pt>
                <c:pt idx="36">
                  <c:v>16.909886770660989</c:v>
                </c:pt>
                <c:pt idx="37">
                  <c:v>16.909886770660989</c:v>
                </c:pt>
                <c:pt idx="38">
                  <c:v>16.909886770660989</c:v>
                </c:pt>
                <c:pt idx="39">
                  <c:v>16.924180420580988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48-43AD-8E22-8ADB31900C2B}"/>
            </c:ext>
          </c:extLst>
        </c:ser>
        <c:ser>
          <c:idx val="1"/>
          <c:order val="1"/>
          <c:tx>
            <c:strRef>
              <c:f>'Aglis Total Tonnage'!$B$129</c:f>
              <c:strCache>
                <c:ptCount val="1"/>
                <c:pt idx="0">
                  <c:v>Rotation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'Aglis Total Tonnage'!$C$2:$AP$3</c:f>
              <c:multiLvlStrCache>
                <c:ptCount val="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4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3</c:v>
                  </c:pt>
                  <c:pt idx="31">
                    <c:v>4</c:v>
                  </c:pt>
                  <c:pt idx="32">
                    <c:v>1</c:v>
                  </c:pt>
                  <c:pt idx="33">
                    <c:v>2</c:v>
                  </c:pt>
                  <c:pt idx="34">
                    <c:v>3</c:v>
                  </c:pt>
                  <c:pt idx="35">
                    <c:v>4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  <c:pt idx="20">
                    <c:v>2028</c:v>
                  </c:pt>
                  <c:pt idx="24">
                    <c:v>2029</c:v>
                  </c:pt>
                  <c:pt idx="28">
                    <c:v>2030</c:v>
                  </c:pt>
                  <c:pt idx="32">
                    <c:v>2031</c:v>
                  </c:pt>
                  <c:pt idx="36">
                    <c:v>2032</c:v>
                  </c:pt>
                </c:lvl>
              </c:multiLvlStrCache>
            </c:multiLvlStrRef>
          </c:cat>
          <c:val>
            <c:numRef>
              <c:f>'Aglis Total Tonnage'!$C$129:$AP$129</c:f>
              <c:numCache>
                <c:formatCode>0.00_);\(0.00\)</c:formatCode>
                <c:ptCount val="40"/>
                <c:pt idx="0">
                  <c:v>6.3800000000000008</c:v>
                </c:pt>
                <c:pt idx="1">
                  <c:v>6.4816709090909095</c:v>
                </c:pt>
                <c:pt idx="2">
                  <c:v>6.5833418181818191</c:v>
                </c:pt>
                <c:pt idx="3">
                  <c:v>6.6850127272727269</c:v>
                </c:pt>
                <c:pt idx="4">
                  <c:v>7.1371428125510681</c:v>
                </c:pt>
                <c:pt idx="5">
                  <c:v>7.244061169783965</c:v>
                </c:pt>
                <c:pt idx="6">
                  <c:v>7.3509795270168627</c:v>
                </c:pt>
                <c:pt idx="7">
                  <c:v>7.4578978842497596</c:v>
                </c:pt>
                <c:pt idx="8">
                  <c:v>7.9554113407894125</c:v>
                </c:pt>
                <c:pt idx="9">
                  <c:v>8.0678475431355992</c:v>
                </c:pt>
                <c:pt idx="10">
                  <c:v>8.1802837454817858</c:v>
                </c:pt>
                <c:pt idx="11">
                  <c:v>8.2927199478279725</c:v>
                </c:pt>
                <c:pt idx="12">
                  <c:v>8.8390918432146339</c:v>
                </c:pt>
                <c:pt idx="13">
                  <c:v>8.9573302076591261</c:v>
                </c:pt>
                <c:pt idx="14">
                  <c:v>9.0755685721036166</c:v>
                </c:pt>
                <c:pt idx="15">
                  <c:v>9.1938069365481052</c:v>
                </c:pt>
                <c:pt idx="16">
                  <c:v>9.7812562709414479</c:v>
                </c:pt>
                <c:pt idx="17">
                  <c:v>9.8653141131556978</c:v>
                </c:pt>
                <c:pt idx="18">
                  <c:v>9.9493719553699478</c:v>
                </c:pt>
                <c:pt idx="19">
                  <c:v>10.033429797584198</c:v>
                </c:pt>
                <c:pt idx="20">
                  <c:v>10.120257092867078</c:v>
                </c:pt>
                <c:pt idx="21">
                  <c:v>10.140992936352072</c:v>
                </c:pt>
                <c:pt idx="22">
                  <c:v>10.161770251524038</c:v>
                </c:pt>
                <c:pt idx="23">
                  <c:v>10.182589121326343</c:v>
                </c:pt>
                <c:pt idx="24">
                  <c:v>10.29295230316853</c:v>
                </c:pt>
                <c:pt idx="25">
                  <c:v>10.335162980027507</c:v>
                </c:pt>
                <c:pt idx="26">
                  <c:v>10.37754249959392</c:v>
                </c:pt>
                <c:pt idx="27">
                  <c:v>10.420091537238598</c:v>
                </c:pt>
                <c:pt idx="28">
                  <c:v>10.555922887861625</c:v>
                </c:pt>
                <c:pt idx="29">
                  <c:v>10.620890911875309</c:v>
                </c:pt>
                <c:pt idx="30">
                  <c:v>10.666676406106125</c:v>
                </c:pt>
                <c:pt idx="31">
                  <c:v>10.732310151229273</c:v>
                </c:pt>
                <c:pt idx="32">
                  <c:v>10.800793492266843</c:v>
                </c:pt>
                <c:pt idx="33">
                  <c:v>10.882736316356313</c:v>
                </c:pt>
                <c:pt idx="34">
                  <c:v>10.965285517344043</c:v>
                </c:pt>
                <c:pt idx="35">
                  <c:v>11.008618810236271</c:v>
                </c:pt>
                <c:pt idx="36">
                  <c:v>11.078481137696025</c:v>
                </c:pt>
                <c:pt idx="37">
                  <c:v>11.078481137696025</c:v>
                </c:pt>
                <c:pt idx="38">
                  <c:v>11.078481137696025</c:v>
                </c:pt>
                <c:pt idx="39">
                  <c:v>11.078481137696023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48-43AD-8E22-8ADB31900C2B}"/>
            </c:ext>
          </c:extLst>
        </c:ser>
        <c:ser>
          <c:idx val="2"/>
          <c:order val="2"/>
          <c:tx>
            <c:strRef>
              <c:f>'Aglis Total Tonnage'!$B$130</c:f>
              <c:strCache>
                <c:ptCount val="1"/>
                <c:pt idx="0">
                  <c:v>Rotation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'Aglis Total Tonnage'!$C$2:$AP$3</c:f>
              <c:multiLvlStrCache>
                <c:ptCount val="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4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3</c:v>
                  </c:pt>
                  <c:pt idx="31">
                    <c:v>4</c:v>
                  </c:pt>
                  <c:pt idx="32">
                    <c:v>1</c:v>
                  </c:pt>
                  <c:pt idx="33">
                    <c:v>2</c:v>
                  </c:pt>
                  <c:pt idx="34">
                    <c:v>3</c:v>
                  </c:pt>
                  <c:pt idx="35">
                    <c:v>4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  <c:pt idx="20">
                    <c:v>2028</c:v>
                  </c:pt>
                  <c:pt idx="24">
                    <c:v>2029</c:v>
                  </c:pt>
                  <c:pt idx="28">
                    <c:v>2030</c:v>
                  </c:pt>
                  <c:pt idx="32">
                    <c:v>2031</c:v>
                  </c:pt>
                  <c:pt idx="36">
                    <c:v>2032</c:v>
                  </c:pt>
                </c:lvl>
              </c:multiLvlStrCache>
            </c:multiLvlStrRef>
          </c:cat>
          <c:val>
            <c:numRef>
              <c:f>'Aglis Total Tonnage'!$C$130:$AP$130</c:f>
              <c:numCache>
                <c:formatCode>0.00_);\(0.00\)</c:formatCode>
                <c:ptCount val="40"/>
                <c:pt idx="8">
                  <c:v>10.000750810694674</c:v>
                </c:pt>
                <c:pt idx="9">
                  <c:v>10.1461956074023</c:v>
                </c:pt>
                <c:pt idx="10">
                  <c:v>10.291640404109923</c:v>
                </c:pt>
                <c:pt idx="11">
                  <c:v>10.437085200817547</c:v>
                </c:pt>
                <c:pt idx="12">
                  <c:v>10.763694648156326</c:v>
                </c:pt>
                <c:pt idx="13">
                  <c:v>10.911769925284093</c:v>
                </c:pt>
                <c:pt idx="14">
                  <c:v>11.059845202411854</c:v>
                </c:pt>
                <c:pt idx="15">
                  <c:v>11.207920479539617</c:v>
                </c:pt>
                <c:pt idx="16">
                  <c:v>11.550506015531637</c:v>
                </c:pt>
                <c:pt idx="17">
                  <c:v>11.699061058132484</c:v>
                </c:pt>
                <c:pt idx="18">
                  <c:v>11.84761610073333</c:v>
                </c:pt>
                <c:pt idx="19">
                  <c:v>11.996171143334177</c:v>
                </c:pt>
                <c:pt idx="20">
                  <c:v>12.138585356585757</c:v>
                </c:pt>
                <c:pt idx="21">
                  <c:v>12.268895668636606</c:v>
                </c:pt>
                <c:pt idx="22">
                  <c:v>12.399549000274758</c:v>
                </c:pt>
                <c:pt idx="23">
                  <c:v>12.530546342969952</c:v>
                </c:pt>
                <c:pt idx="24">
                  <c:v>12.4498736930883</c:v>
                </c:pt>
                <c:pt idx="25">
                  <c:v>12.488451915932377</c:v>
                </c:pt>
                <c:pt idx="26">
                  <c:v>12.527184451667829</c:v>
                </c:pt>
                <c:pt idx="27">
                  <c:v>12.706039039693952</c:v>
                </c:pt>
                <c:pt idx="28">
                  <c:v>12.729470265158168</c:v>
                </c:pt>
                <c:pt idx="29">
                  <c:v>12.760101246879595</c:v>
                </c:pt>
                <c:pt idx="30">
                  <c:v>12.790877146138095</c:v>
                </c:pt>
                <c:pt idx="31">
                  <c:v>12.821798968287524</c:v>
                </c:pt>
                <c:pt idx="32">
                  <c:v>12.860657479366239</c:v>
                </c:pt>
                <c:pt idx="33">
                  <c:v>12.89593782065997</c:v>
                </c:pt>
                <c:pt idx="34">
                  <c:v>12.900296666434905</c:v>
                </c:pt>
                <c:pt idx="35">
                  <c:v>12.914472805521134</c:v>
                </c:pt>
                <c:pt idx="36">
                  <c:v>12.942029199126409</c:v>
                </c:pt>
                <c:pt idx="37">
                  <c:v>12.942029199126409</c:v>
                </c:pt>
                <c:pt idx="38">
                  <c:v>12.935065600139753</c:v>
                </c:pt>
                <c:pt idx="39">
                  <c:v>12.935065600139753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48-43AD-8E22-8ADB31900C2B}"/>
            </c:ext>
          </c:extLst>
        </c:ser>
        <c:ser>
          <c:idx val="3"/>
          <c:order val="3"/>
          <c:tx>
            <c:strRef>
              <c:f>'Aglis Total Tonnage'!$B$131</c:f>
              <c:strCache>
                <c:ptCount val="1"/>
                <c:pt idx="0">
                  <c:v>Rotation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'Aglis Total Tonnage'!$C$2:$AP$3</c:f>
              <c:multiLvlStrCache>
                <c:ptCount val="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4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3</c:v>
                  </c:pt>
                  <c:pt idx="31">
                    <c:v>4</c:v>
                  </c:pt>
                  <c:pt idx="32">
                    <c:v>1</c:v>
                  </c:pt>
                  <c:pt idx="33">
                    <c:v>2</c:v>
                  </c:pt>
                  <c:pt idx="34">
                    <c:v>3</c:v>
                  </c:pt>
                  <c:pt idx="35">
                    <c:v>4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  <c:pt idx="20">
                    <c:v>2028</c:v>
                  </c:pt>
                  <c:pt idx="24">
                    <c:v>2029</c:v>
                  </c:pt>
                  <c:pt idx="28">
                    <c:v>2030</c:v>
                  </c:pt>
                  <c:pt idx="32">
                    <c:v>2031</c:v>
                  </c:pt>
                  <c:pt idx="36">
                    <c:v>2032</c:v>
                  </c:pt>
                </c:lvl>
              </c:multiLvlStrCache>
            </c:multiLvlStrRef>
          </c:cat>
          <c:val>
            <c:numRef>
              <c:f>'Aglis Total Tonnage'!$C$131:$AP$131</c:f>
              <c:numCache>
                <c:formatCode>0.00_);\(0.00\)</c:formatCode>
                <c:ptCount val="40"/>
                <c:pt idx="12">
                  <c:v>7.0371167905309235</c:v>
                </c:pt>
                <c:pt idx="13">
                  <c:v>7.2253066987366008</c:v>
                </c:pt>
                <c:pt idx="14">
                  <c:v>7.4147055827854986</c:v>
                </c:pt>
                <c:pt idx="15">
                  <c:v>7.6041044668344</c:v>
                </c:pt>
                <c:pt idx="16">
                  <c:v>7.9119414743419867</c:v>
                </c:pt>
                <c:pt idx="17">
                  <c:v>8.0291757108289517</c:v>
                </c:pt>
                <c:pt idx="18">
                  <c:v>8.1464099473159202</c:v>
                </c:pt>
                <c:pt idx="19">
                  <c:v>8.2636441838028851</c:v>
                </c:pt>
                <c:pt idx="20">
                  <c:v>8.445267640028165</c:v>
                </c:pt>
                <c:pt idx="21">
                  <c:v>8.5577405007750507</c:v>
                </c:pt>
                <c:pt idx="22">
                  <c:v>8.7744184381563084</c:v>
                </c:pt>
                <c:pt idx="23">
                  <c:v>8.8568920904313888</c:v>
                </c:pt>
                <c:pt idx="24">
                  <c:v>8.9830004284779879</c:v>
                </c:pt>
                <c:pt idx="25">
                  <c:v>9.0210532965079278</c:v>
                </c:pt>
                <c:pt idx="26">
                  <c:v>9.0656514616027</c:v>
                </c:pt>
                <c:pt idx="27">
                  <c:v>9.1104280193578617</c:v>
                </c:pt>
                <c:pt idx="28">
                  <c:v>9.2059958679492695</c:v>
                </c:pt>
                <c:pt idx="29">
                  <c:v>9.2609377583451469</c:v>
                </c:pt>
                <c:pt idx="30">
                  <c:v>9.3292743127583329</c:v>
                </c:pt>
                <c:pt idx="31">
                  <c:v>9.4201581479534067</c:v>
                </c:pt>
                <c:pt idx="32">
                  <c:v>9.54507484823014</c:v>
                </c:pt>
                <c:pt idx="33">
                  <c:v>9.6093754526631887</c:v>
                </c:pt>
                <c:pt idx="34">
                  <c:v>9.6804848310128939</c:v>
                </c:pt>
                <c:pt idx="35">
                  <c:v>9.6804848310128939</c:v>
                </c:pt>
                <c:pt idx="36">
                  <c:v>9.6804848310128939</c:v>
                </c:pt>
                <c:pt idx="37">
                  <c:v>9.6789683041453944</c:v>
                </c:pt>
                <c:pt idx="38">
                  <c:v>9.6789683041453944</c:v>
                </c:pt>
                <c:pt idx="39">
                  <c:v>9.6543379615068083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48-43AD-8E22-8ADB31900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9230143"/>
        <c:axId val="1859238047"/>
        <c:extLst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9194367"/>
        <c:axId val="1859194783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'Aglis Total Tonnage'!$B$133</c15:sqref>
                        </c15:formulaRef>
                      </c:ext>
                    </c:extLst>
                    <c:strCache>
                      <c:ptCount val="1"/>
                      <c:pt idx="0">
                        <c:v>Rotation 1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'Aglis Total Tonnage'!$C$133:$AP$133</c15:sqref>
                        </c15:formulaRef>
                      </c:ext>
                    </c:extLst>
                    <c:numCache>
                      <c:formatCode>0%</c:formatCode>
                      <c:ptCount val="40"/>
                      <c:pt idx="0">
                        <c:v>0.41731851851851842</c:v>
                      </c:pt>
                      <c:pt idx="1">
                        <c:v>0.42099441975308632</c:v>
                      </c:pt>
                      <c:pt idx="2">
                        <c:v>0.4303591703703703</c:v>
                      </c:pt>
                      <c:pt idx="3">
                        <c:v>0.43963123950617272</c:v>
                      </c:pt>
                      <c:pt idx="4">
                        <c:v>0.47245554440637555</c:v>
                      </c:pt>
                      <c:pt idx="5">
                        <c:v>0.4854391623044374</c:v>
                      </c:pt>
                      <c:pt idx="6">
                        <c:v>0.49301950649292509</c:v>
                      </c:pt>
                      <c:pt idx="7">
                        <c:v>0.50336912486953345</c:v>
                      </c:pt>
                      <c:pt idx="8">
                        <c:v>0.53194099151461127</c:v>
                      </c:pt>
                      <c:pt idx="9">
                        <c:v>0.53803279723054742</c:v>
                      </c:pt>
                      <c:pt idx="10">
                        <c:v>0.54367037997887835</c:v>
                      </c:pt>
                      <c:pt idx="11">
                        <c:v>0.54838990273661303</c:v>
                      </c:pt>
                      <c:pt idx="12">
                        <c:v>0.56196200138629582</c:v>
                      </c:pt>
                      <c:pt idx="13">
                        <c:v>0.56650175270760295</c:v>
                      </c:pt>
                      <c:pt idx="14">
                        <c:v>0.57127607030091054</c:v>
                      </c:pt>
                      <c:pt idx="15">
                        <c:v>0.57654888761687617</c:v>
                      </c:pt>
                      <c:pt idx="16">
                        <c:v>0.59163216834631804</c:v>
                      </c:pt>
                      <c:pt idx="17">
                        <c:v>0.59754402100885484</c:v>
                      </c:pt>
                      <c:pt idx="18">
                        <c:v>0.60419810537556573</c:v>
                      </c:pt>
                      <c:pt idx="19">
                        <c:v>0.60748072045472634</c:v>
                      </c:pt>
                      <c:pt idx="20">
                        <c:v>0.61204784873984497</c:v>
                      </c:pt>
                      <c:pt idx="21">
                        <c:v>0.61522670338589602</c:v>
                      </c:pt>
                      <c:pt idx="22">
                        <c:v>0.61763552975342872</c:v>
                      </c:pt>
                      <c:pt idx="23">
                        <c:v>0.62004435612096132</c:v>
                      </c:pt>
                      <c:pt idx="24">
                        <c:v>0.62390948960304393</c:v>
                      </c:pt>
                      <c:pt idx="25">
                        <c:v>0.62390948960304393</c:v>
                      </c:pt>
                      <c:pt idx="26">
                        <c:v>0.62054486000820619</c:v>
                      </c:pt>
                      <c:pt idx="27">
                        <c:v>0.62025789795717046</c:v>
                      </c:pt>
                      <c:pt idx="28">
                        <c:v>0.62174154049307784</c:v>
                      </c:pt>
                      <c:pt idx="29">
                        <c:v>0.62174154049307784</c:v>
                      </c:pt>
                      <c:pt idx="30">
                        <c:v>0.62568368346432923</c:v>
                      </c:pt>
                      <c:pt idx="31">
                        <c:v>0.62621307790581071</c:v>
                      </c:pt>
                      <c:pt idx="32">
                        <c:v>0.62657437519353731</c:v>
                      </c:pt>
                      <c:pt idx="33">
                        <c:v>0.62599625686532945</c:v>
                      </c:pt>
                      <c:pt idx="34">
                        <c:v>0.62599625686532945</c:v>
                      </c:pt>
                      <c:pt idx="35">
                        <c:v>0.62652565130681093</c:v>
                      </c:pt>
                      <c:pt idx="36">
                        <c:v>0.62629210261707369</c:v>
                      </c:pt>
                      <c:pt idx="37">
                        <c:v>0.62629210261707369</c:v>
                      </c:pt>
                      <c:pt idx="38">
                        <c:v>0.62629210261707369</c:v>
                      </c:pt>
                      <c:pt idx="39">
                        <c:v>0.62682149705855517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7D48-43AD-8E22-8ADB31900C2B}"/>
                  </c:ext>
                </c:extLst>
              </c15:ser>
            </c15:filteredLineSeries>
          </c:ext>
        </c:extLst>
      </c:lineChart>
      <c:catAx>
        <c:axId val="185923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238047"/>
        <c:crosses val="autoZero"/>
        <c:auto val="1"/>
        <c:lblAlgn val="ctr"/>
        <c:lblOffset val="100"/>
        <c:noMultiLvlLbl val="0"/>
      </c:catAx>
      <c:valAx>
        <c:axId val="1859238047"/>
        <c:scaling>
          <c:orientation val="minMax"/>
          <c:max val="2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230143"/>
        <c:crosses val="autoZero"/>
        <c:crossBetween val="between"/>
      </c:valAx>
      <c:valAx>
        <c:axId val="1859194783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4367"/>
        <c:crosses val="max"/>
        <c:crossBetween val="between"/>
        <c:majorUnit val="0.2"/>
      </c:valAx>
      <c:catAx>
        <c:axId val="1859194367"/>
        <c:scaling>
          <c:orientation val="minMax"/>
        </c:scaling>
        <c:delete val="1"/>
        <c:axPos val="b"/>
        <c:majorTickMark val="out"/>
        <c:minorTickMark val="none"/>
        <c:tickLblPos val="nextTo"/>
        <c:crossAx val="18591947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Aglis Air Capasity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'Aglis Market Share'!$C$2:$V$3</c:f>
              <c:multiLvlStrCache>
                <c:ptCount val="2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</c:lvl>
              </c:multiLvlStrCache>
            </c:multiLvlStrRef>
          </c:cat>
          <c:val>
            <c:numRef>
              <c:f>'Aglis Market Share'!$C$21:$T$21</c:f>
              <c:numCache>
                <c:formatCode>0%</c:formatCode>
                <c:ptCount val="18"/>
                <c:pt idx="0">
                  <c:v>0.17555555555555558</c:v>
                </c:pt>
                <c:pt idx="1">
                  <c:v>0.17864955106621772</c:v>
                </c:pt>
                <c:pt idx="2">
                  <c:v>0.18175465768799104</c:v>
                </c:pt>
                <c:pt idx="3">
                  <c:v>0.18481531986531985</c:v>
                </c:pt>
                <c:pt idx="4">
                  <c:v>0.19338569345770307</c:v>
                </c:pt>
                <c:pt idx="5">
                  <c:v>0.19751001764785284</c:v>
                </c:pt>
                <c:pt idx="6">
                  <c:v>0.20045773351300794</c:v>
                </c:pt>
                <c:pt idx="7">
                  <c:v>0.2040104202073271</c:v>
                </c:pt>
                <c:pt idx="8">
                  <c:v>0.22571055453631125</c:v>
                </c:pt>
                <c:pt idx="9">
                  <c:v>0.22872445785001821</c:v>
                </c:pt>
                <c:pt idx="10">
                  <c:v>0.23175168743345284</c:v>
                </c:pt>
                <c:pt idx="11">
                  <c:v>0.23457328305485214</c:v>
                </c:pt>
                <c:pt idx="12">
                  <c:v>0.22725420790646406</c:v>
                </c:pt>
                <c:pt idx="13">
                  <c:v>0.22780479373471177</c:v>
                </c:pt>
                <c:pt idx="14">
                  <c:v>0.23146396610693512</c:v>
                </c:pt>
                <c:pt idx="15">
                  <c:v>0.23518353603760198</c:v>
                </c:pt>
                <c:pt idx="16">
                  <c:v>0.24314838579969736</c:v>
                </c:pt>
                <c:pt idx="17">
                  <c:v>0.24672753570519906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E1-40FC-AEC3-3BB3CAFD0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043056"/>
        <c:axId val="298033072"/>
      </c:lineChart>
      <c:catAx>
        <c:axId val="29804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33072"/>
        <c:crosses val="autoZero"/>
        <c:auto val="1"/>
        <c:lblAlgn val="ctr"/>
        <c:lblOffset val="100"/>
        <c:noMultiLvlLbl val="0"/>
      </c:catAx>
      <c:valAx>
        <c:axId val="29803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43056"/>
        <c:crossesAt val="1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Graph!$A$3</c:f>
              <c:strCache>
                <c:ptCount val="1"/>
                <c:pt idx="0">
                  <c:v>AGLIS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Graph!$C$1:$AP$2</c:f>
              <c:multiLvlStrCache>
                <c:ptCount val="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4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3</c:v>
                  </c:pt>
                  <c:pt idx="31">
                    <c:v>4</c:v>
                  </c:pt>
                  <c:pt idx="32">
                    <c:v>1</c:v>
                  </c:pt>
                  <c:pt idx="33">
                    <c:v>2</c:v>
                  </c:pt>
                  <c:pt idx="34">
                    <c:v>3</c:v>
                  </c:pt>
                  <c:pt idx="35">
                    <c:v>4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  <c:pt idx="20">
                    <c:v>2028</c:v>
                  </c:pt>
                  <c:pt idx="24">
                    <c:v>2029</c:v>
                  </c:pt>
                  <c:pt idx="28">
                    <c:v>2030</c:v>
                  </c:pt>
                  <c:pt idx="32">
                    <c:v>2031</c:v>
                  </c:pt>
                  <c:pt idx="36">
                    <c:v>2032</c:v>
                  </c:pt>
                </c:lvl>
              </c:multiLvlStrCache>
            </c:multiLvlStrRef>
          </c:cat>
          <c:val>
            <c:numRef>
              <c:f>Graph!$C$3:$AP$3</c:f>
              <c:numCache>
                <c:formatCode>0.0%</c:formatCode>
                <c:ptCount val="40"/>
                <c:pt idx="0">
                  <c:v>0.17555555555555558</c:v>
                </c:pt>
                <c:pt idx="1">
                  <c:v>0.17864955106621772</c:v>
                </c:pt>
                <c:pt idx="2">
                  <c:v>0.18175465768799104</c:v>
                </c:pt>
                <c:pt idx="3">
                  <c:v>0.18481531986531985</c:v>
                </c:pt>
                <c:pt idx="4">
                  <c:v>0.19338569345770307</c:v>
                </c:pt>
                <c:pt idx="5">
                  <c:v>0.19751001764785284</c:v>
                </c:pt>
                <c:pt idx="6">
                  <c:v>0.20045773351300794</c:v>
                </c:pt>
                <c:pt idx="7">
                  <c:v>0.2040104202073271</c:v>
                </c:pt>
                <c:pt idx="8">
                  <c:v>0.22571055453631125</c:v>
                </c:pt>
                <c:pt idx="9">
                  <c:v>0.22872445785001821</c:v>
                </c:pt>
                <c:pt idx="10">
                  <c:v>0.23175168743345284</c:v>
                </c:pt>
                <c:pt idx="11">
                  <c:v>0.23457328305485214</c:v>
                </c:pt>
                <c:pt idx="12">
                  <c:v>0.22725420790646406</c:v>
                </c:pt>
                <c:pt idx="13">
                  <c:v>0.22780479373471177</c:v>
                </c:pt>
                <c:pt idx="14">
                  <c:v>0.23146396610693512</c:v>
                </c:pt>
                <c:pt idx="15">
                  <c:v>0.23518353603760198</c:v>
                </c:pt>
                <c:pt idx="16">
                  <c:v>0.24314838579969736</c:v>
                </c:pt>
                <c:pt idx="17">
                  <c:v>0.24672753570519906</c:v>
                </c:pt>
                <c:pt idx="18">
                  <c:v>0.25035679889240203</c:v>
                </c:pt>
                <c:pt idx="19">
                  <c:v>0.25398606207960506</c:v>
                </c:pt>
                <c:pt idx="20">
                  <c:v>0.25566890345223486</c:v>
                </c:pt>
                <c:pt idx="21">
                  <c:v>0.25655927723835459</c:v>
                </c:pt>
                <c:pt idx="22">
                  <c:v>0.25744965102447426</c:v>
                </c:pt>
                <c:pt idx="23">
                  <c:v>0.25834002481059404</c:v>
                </c:pt>
                <c:pt idx="24">
                  <c:v>0.2587483781867555</c:v>
                </c:pt>
                <c:pt idx="25">
                  <c:v>0.25875660663003847</c:v>
                </c:pt>
                <c:pt idx="26">
                  <c:v>0.25879424683802732</c:v>
                </c:pt>
                <c:pt idx="27">
                  <c:v>0.25977643161259628</c:v>
                </c:pt>
                <c:pt idx="28">
                  <c:v>0.26063008837379825</c:v>
                </c:pt>
                <c:pt idx="29">
                  <c:v>0.26077970625914265</c:v>
                </c:pt>
                <c:pt idx="30">
                  <c:v>0.26092932414448705</c:v>
                </c:pt>
                <c:pt idx="31">
                  <c:v>0.26107894202983145</c:v>
                </c:pt>
                <c:pt idx="32">
                  <c:v>0.26205886057852618</c:v>
                </c:pt>
                <c:pt idx="33">
                  <c:v>0.26261825648107157</c:v>
                </c:pt>
                <c:pt idx="34">
                  <c:v>0.26283447257025933</c:v>
                </c:pt>
                <c:pt idx="35">
                  <c:v>0.26297944064737105</c:v>
                </c:pt>
                <c:pt idx="36">
                  <c:v>0.26344690480835015</c:v>
                </c:pt>
                <c:pt idx="37">
                  <c:v>0.2646651461832436</c:v>
                </c:pt>
                <c:pt idx="38">
                  <c:v>0.26461808735971415</c:v>
                </c:pt>
                <c:pt idx="39">
                  <c:v>0.26459288906285983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F-4A52-B67A-9CAD8D4EF6D7}"/>
            </c:ext>
          </c:extLst>
        </c:ser>
        <c:ser>
          <c:idx val="1"/>
          <c:order val="1"/>
          <c:tx>
            <c:strRef>
              <c:f>Graph!$A$4</c:f>
              <c:strCache>
                <c:ptCount val="1"/>
                <c:pt idx="0">
                  <c:v>Lion Air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Graph!$C$1:$AP$2</c:f>
              <c:multiLvlStrCache>
                <c:ptCount val="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4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3</c:v>
                  </c:pt>
                  <c:pt idx="31">
                    <c:v>4</c:v>
                  </c:pt>
                  <c:pt idx="32">
                    <c:v>1</c:v>
                  </c:pt>
                  <c:pt idx="33">
                    <c:v>2</c:v>
                  </c:pt>
                  <c:pt idx="34">
                    <c:v>3</c:v>
                  </c:pt>
                  <c:pt idx="35">
                    <c:v>4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  <c:pt idx="20">
                    <c:v>2028</c:v>
                  </c:pt>
                  <c:pt idx="24">
                    <c:v>2029</c:v>
                  </c:pt>
                  <c:pt idx="28">
                    <c:v>2030</c:v>
                  </c:pt>
                  <c:pt idx="32">
                    <c:v>2031</c:v>
                  </c:pt>
                  <c:pt idx="36">
                    <c:v>2032</c:v>
                  </c:pt>
                </c:lvl>
              </c:multiLvlStrCache>
            </c:multiLvlStrRef>
          </c:cat>
          <c:val>
            <c:numRef>
              <c:f>Graph!$C$4:$AP$4</c:f>
              <c:numCache>
                <c:formatCode>0.0%</c:formatCode>
                <c:ptCount val="40"/>
                <c:pt idx="0">
                  <c:v>0.28040271604938261</c:v>
                </c:pt>
                <c:pt idx="1">
                  <c:v>0.27935041379847853</c:v>
                </c:pt>
                <c:pt idx="2">
                  <c:v>0.27829433253522873</c:v>
                </c:pt>
                <c:pt idx="3">
                  <c:v>0.27725336732136169</c:v>
                </c:pt>
                <c:pt idx="4">
                  <c:v>0.27433848803621891</c:v>
                </c:pt>
                <c:pt idx="5">
                  <c:v>0.27293575955332461</c:v>
                </c:pt>
                <c:pt idx="6">
                  <c:v>0.27193320863518683</c:v>
                </c:pt>
                <c:pt idx="7">
                  <c:v>0.27072490041615233</c:v>
                </c:pt>
                <c:pt idx="8">
                  <c:v>0.26334444361826115</c:v>
                </c:pt>
                <c:pt idx="9">
                  <c:v>0.26231938161345481</c:v>
                </c:pt>
                <c:pt idx="10">
                  <c:v>0.26128978719624441</c:v>
                </c:pt>
                <c:pt idx="11">
                  <c:v>0.26033013117434406</c:v>
                </c:pt>
                <c:pt idx="12">
                  <c:v>0.26281942995536806</c:v>
                </c:pt>
                <c:pt idx="13">
                  <c:v>0.26263216959756069</c:v>
                </c:pt>
                <c:pt idx="14">
                  <c:v>0.26138764441629675</c:v>
                </c:pt>
                <c:pt idx="15">
                  <c:v>0.26012257735432215</c:v>
                </c:pt>
                <c:pt idx="16">
                  <c:v>0.25741364345190282</c:v>
                </c:pt>
                <c:pt idx="17">
                  <c:v>0.25619633480070941</c:v>
                </c:pt>
                <c:pt idx="18">
                  <c:v>0.25496198206559517</c:v>
                </c:pt>
                <c:pt idx="19">
                  <c:v>0.25372762933048087</c:v>
                </c:pt>
                <c:pt idx="20">
                  <c:v>0.25315527628141204</c:v>
                </c:pt>
                <c:pt idx="21">
                  <c:v>0.25285245026371062</c:v>
                </c:pt>
                <c:pt idx="22">
                  <c:v>0.25254962424600924</c:v>
                </c:pt>
                <c:pt idx="23">
                  <c:v>0.25224679822830787</c:v>
                </c:pt>
                <c:pt idx="24">
                  <c:v>0.25210791270781563</c:v>
                </c:pt>
                <c:pt idx="25">
                  <c:v>0.25210511412282793</c:v>
                </c:pt>
                <c:pt idx="26">
                  <c:v>0.25209231226986639</c:v>
                </c:pt>
                <c:pt idx="27">
                  <c:v>0.25175826031487131</c:v>
                </c:pt>
                <c:pt idx="28">
                  <c:v>0.25146792216531144</c:v>
                </c:pt>
                <c:pt idx="29">
                  <c:v>0.25141703546008487</c:v>
                </c:pt>
                <c:pt idx="30">
                  <c:v>0.25136614875485824</c:v>
                </c:pt>
                <c:pt idx="31">
                  <c:v>0.25131526204963167</c:v>
                </c:pt>
                <c:pt idx="32">
                  <c:v>0.25098198086323675</c:v>
                </c:pt>
                <c:pt idx="33">
                  <c:v>0.25079172410127104</c:v>
                </c:pt>
                <c:pt idx="34">
                  <c:v>0.25071818660693723</c:v>
                </c:pt>
                <c:pt idx="35">
                  <c:v>0.25066888135315513</c:v>
                </c:pt>
                <c:pt idx="36">
                  <c:v>0.25050989159795994</c:v>
                </c:pt>
                <c:pt idx="37">
                  <c:v>0.25009555417034335</c:v>
                </c:pt>
                <c:pt idx="38">
                  <c:v>0.25011155939910157</c:v>
                </c:pt>
                <c:pt idx="39">
                  <c:v>0.25012012961984281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FF-4A52-B67A-9CAD8D4EF6D7}"/>
            </c:ext>
          </c:extLst>
        </c:ser>
        <c:ser>
          <c:idx val="2"/>
          <c:order val="2"/>
          <c:tx>
            <c:strRef>
              <c:f>Graph!$A$5</c:f>
              <c:strCache>
                <c:ptCount val="1"/>
                <c:pt idx="0">
                  <c:v>Citilink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Graph!$C$1:$AP$2</c:f>
              <c:multiLvlStrCache>
                <c:ptCount val="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4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3</c:v>
                  </c:pt>
                  <c:pt idx="31">
                    <c:v>4</c:v>
                  </c:pt>
                  <c:pt idx="32">
                    <c:v>1</c:v>
                  </c:pt>
                  <c:pt idx="33">
                    <c:v>2</c:v>
                  </c:pt>
                  <c:pt idx="34">
                    <c:v>3</c:v>
                  </c:pt>
                  <c:pt idx="35">
                    <c:v>4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  <c:pt idx="20">
                    <c:v>2028</c:v>
                  </c:pt>
                  <c:pt idx="24">
                    <c:v>2029</c:v>
                  </c:pt>
                  <c:pt idx="28">
                    <c:v>2030</c:v>
                  </c:pt>
                  <c:pt idx="32">
                    <c:v>2031</c:v>
                  </c:pt>
                  <c:pt idx="36">
                    <c:v>2032</c:v>
                  </c:pt>
                </c:lvl>
              </c:multiLvlStrCache>
            </c:multiLvlStrRef>
          </c:cat>
          <c:val>
            <c:numRef>
              <c:f>Graph!$C$5:$AP$5</c:f>
              <c:numCache>
                <c:formatCode>0.0%</c:formatCode>
                <c:ptCount val="40"/>
                <c:pt idx="0">
                  <c:v>0.2655627160493827</c:v>
                </c:pt>
                <c:pt idx="1">
                  <c:v>0.26456610571767053</c:v>
                </c:pt>
                <c:pt idx="2">
                  <c:v>0.26356591637361265</c:v>
                </c:pt>
                <c:pt idx="3">
                  <c:v>0.26258004307893751</c:v>
                </c:pt>
                <c:pt idx="4">
                  <c:v>0.25981943051845763</c:v>
                </c:pt>
                <c:pt idx="5">
                  <c:v>0.25849093987098604</c:v>
                </c:pt>
                <c:pt idx="6">
                  <c:v>0.25754144783842103</c:v>
                </c:pt>
                <c:pt idx="7">
                  <c:v>0.25639708797988431</c:v>
                </c:pt>
                <c:pt idx="8">
                  <c:v>0.24940723359991482</c:v>
                </c:pt>
                <c:pt idx="9">
                  <c:v>0.2484364218547552</c:v>
                </c:pt>
                <c:pt idx="10">
                  <c:v>0.24746131757004666</c:v>
                </c:pt>
                <c:pt idx="11">
                  <c:v>0.24655245026933148</c:v>
                </c:pt>
                <c:pt idx="12">
                  <c:v>0.24891000569768448</c:v>
                </c:pt>
                <c:pt idx="13">
                  <c:v>0.2487326558847856</c:v>
                </c:pt>
                <c:pt idx="14">
                  <c:v>0.24755399580622164</c:v>
                </c:pt>
                <c:pt idx="15">
                  <c:v>0.24635588100299904</c:v>
                </c:pt>
                <c:pt idx="16">
                  <c:v>0.24379031439629748</c:v>
                </c:pt>
                <c:pt idx="17">
                  <c:v>0.24263743044340308</c:v>
                </c:pt>
                <c:pt idx="18">
                  <c:v>0.24146840444565848</c:v>
                </c:pt>
                <c:pt idx="19">
                  <c:v>0.24029937844791385</c:v>
                </c:pt>
                <c:pt idx="20">
                  <c:v>0.23975731654355234</c:v>
                </c:pt>
                <c:pt idx="21">
                  <c:v>0.23947051725400109</c:v>
                </c:pt>
                <c:pt idx="22">
                  <c:v>0.23918371796444987</c:v>
                </c:pt>
                <c:pt idx="23">
                  <c:v>0.23889691867489862</c:v>
                </c:pt>
                <c:pt idx="24">
                  <c:v>0.23876538351517729</c:v>
                </c:pt>
                <c:pt idx="25">
                  <c:v>0.23876273304216872</c:v>
                </c:pt>
                <c:pt idx="26">
                  <c:v>0.23875060871295095</c:v>
                </c:pt>
                <c:pt idx="27">
                  <c:v>0.2384342360838981</c:v>
                </c:pt>
                <c:pt idx="28">
                  <c:v>0.23815926375603985</c:v>
                </c:pt>
                <c:pt idx="29">
                  <c:v>0.23811107017274949</c:v>
                </c:pt>
                <c:pt idx="30">
                  <c:v>0.2380628765894591</c:v>
                </c:pt>
                <c:pt idx="31">
                  <c:v>0.23801468300616874</c:v>
                </c:pt>
                <c:pt idx="32">
                  <c:v>0.23769904035365028</c:v>
                </c:pt>
                <c:pt idx="33">
                  <c:v>0.23751885271793038</c:v>
                </c:pt>
                <c:pt idx="34">
                  <c:v>0.23744920711320197</c:v>
                </c:pt>
                <c:pt idx="35">
                  <c:v>0.23740251128480788</c:v>
                </c:pt>
                <c:pt idx="36">
                  <c:v>0.23725193588451032</c:v>
                </c:pt>
                <c:pt idx="37">
                  <c:v>0.23685952680164182</c:v>
                </c:pt>
                <c:pt idx="38">
                  <c:v>0.23687468497157649</c:v>
                </c:pt>
                <c:pt idx="39">
                  <c:v>0.23688280162297434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FF-4A52-B67A-9CAD8D4EF6D7}"/>
            </c:ext>
          </c:extLst>
        </c:ser>
        <c:ser>
          <c:idx val="3"/>
          <c:order val="3"/>
          <c:tx>
            <c:strRef>
              <c:f>Graph!$A$6</c:f>
              <c:strCache>
                <c:ptCount val="1"/>
                <c:pt idx="0">
                  <c:v>Batik Air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Graph!$C$1:$AP$2</c:f>
              <c:multiLvlStrCache>
                <c:ptCount val="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4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3</c:v>
                  </c:pt>
                  <c:pt idx="31">
                    <c:v>4</c:v>
                  </c:pt>
                  <c:pt idx="32">
                    <c:v>1</c:v>
                  </c:pt>
                  <c:pt idx="33">
                    <c:v>2</c:v>
                  </c:pt>
                  <c:pt idx="34">
                    <c:v>3</c:v>
                  </c:pt>
                  <c:pt idx="35">
                    <c:v>4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  <c:pt idx="20">
                    <c:v>2028</c:v>
                  </c:pt>
                  <c:pt idx="24">
                    <c:v>2029</c:v>
                  </c:pt>
                  <c:pt idx="28">
                    <c:v>2030</c:v>
                  </c:pt>
                  <c:pt idx="32">
                    <c:v>2031</c:v>
                  </c:pt>
                  <c:pt idx="36">
                    <c:v>2032</c:v>
                  </c:pt>
                </c:lvl>
              </c:multiLvlStrCache>
            </c:multiLvlStrRef>
          </c:cat>
          <c:val>
            <c:numRef>
              <c:f>Graph!$C$6:$AP$6</c:f>
              <c:numCache>
                <c:formatCode>0.0%</c:formatCode>
                <c:ptCount val="40"/>
                <c:pt idx="0">
                  <c:v>0.13777382716049383</c:v>
                </c:pt>
                <c:pt idx="1">
                  <c:v>0.13725678613293429</c:v>
                </c:pt>
                <c:pt idx="2">
                  <c:v>0.1367378883152513</c:v>
                </c:pt>
                <c:pt idx="3">
                  <c:v>0.13622641765806212</c:v>
                </c:pt>
                <c:pt idx="4">
                  <c:v>0.13479421300440164</c:v>
                </c:pt>
                <c:pt idx="5">
                  <c:v>0.13410499260640327</c:v>
                </c:pt>
                <c:pt idx="6">
                  <c:v>0.13361239653293736</c:v>
                </c:pt>
                <c:pt idx="7">
                  <c:v>0.13301870311202002</c:v>
                </c:pt>
                <c:pt idx="8">
                  <c:v>0.12939236955304312</c:v>
                </c:pt>
                <c:pt idx="9">
                  <c:v>0.12888871282150807</c:v>
                </c:pt>
                <c:pt idx="10">
                  <c:v>0.1283828291222319</c:v>
                </c:pt>
                <c:pt idx="11">
                  <c:v>0.12791130914283361</c:v>
                </c:pt>
                <c:pt idx="12">
                  <c:v>0.12913440792318645</c:v>
                </c:pt>
                <c:pt idx="13">
                  <c:v>0.12904239891366595</c:v>
                </c:pt>
                <c:pt idx="14">
                  <c:v>0.12843091055279662</c:v>
                </c:pt>
                <c:pt idx="15">
                  <c:v>0.12780932908882742</c:v>
                </c:pt>
                <c:pt idx="16">
                  <c:v>0.1264783141952506</c:v>
                </c:pt>
                <c:pt idx="17">
                  <c:v>0.12588019847770898</c:v>
                </c:pt>
                <c:pt idx="18">
                  <c:v>0.12527370827398082</c:v>
                </c:pt>
                <c:pt idx="19">
                  <c:v>0.12466721807025267</c:v>
                </c:pt>
                <c:pt idx="20">
                  <c:v>0.12438599657864877</c:v>
                </c:pt>
                <c:pt idx="21">
                  <c:v>0.12423720522594608</c:v>
                </c:pt>
                <c:pt idx="22">
                  <c:v>0.12408841387324343</c:v>
                </c:pt>
                <c:pt idx="23">
                  <c:v>0.12393962252054073</c:v>
                </c:pt>
                <c:pt idx="24">
                  <c:v>0.12387138213412444</c:v>
                </c:pt>
                <c:pt idx="25">
                  <c:v>0.12387000706982471</c:v>
                </c:pt>
                <c:pt idx="26">
                  <c:v>0.12386371697284522</c:v>
                </c:pt>
                <c:pt idx="27">
                  <c:v>0.12369958298385057</c:v>
                </c:pt>
                <c:pt idx="28">
                  <c:v>0.12355692745397863</c:v>
                </c:pt>
                <c:pt idx="29">
                  <c:v>0.12353192464291662</c:v>
                </c:pt>
                <c:pt idx="30">
                  <c:v>0.12350692183185463</c:v>
                </c:pt>
                <c:pt idx="31">
                  <c:v>0.12348191902079263</c:v>
                </c:pt>
                <c:pt idx="32">
                  <c:v>0.12331816374332187</c:v>
                </c:pt>
                <c:pt idx="33">
                  <c:v>0.1232246824724965</c:v>
                </c:pt>
                <c:pt idx="34">
                  <c:v>0.12318855036159222</c:v>
                </c:pt>
                <c:pt idx="35">
                  <c:v>0.12316432458515043</c:v>
                </c:pt>
                <c:pt idx="36">
                  <c:v>0.12308620612980462</c:v>
                </c:pt>
                <c:pt idx="37">
                  <c:v>0.12288262446004462</c:v>
                </c:pt>
                <c:pt idx="38">
                  <c:v>0.12289048851233222</c:v>
                </c:pt>
                <c:pt idx="39">
                  <c:v>0.12289469942771766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FF-4A52-B67A-9CAD8D4EF6D7}"/>
            </c:ext>
          </c:extLst>
        </c:ser>
        <c:ser>
          <c:idx val="4"/>
          <c:order val="4"/>
          <c:tx>
            <c:strRef>
              <c:f>Graph!$A$7</c:f>
              <c:strCache>
                <c:ptCount val="1"/>
                <c:pt idx="0">
                  <c:v>Garuda Indonesia</c:v>
                </c:pt>
              </c:strCache>
            </c:strRef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Graph!$C$1:$AP$2</c:f>
              <c:multiLvlStrCache>
                <c:ptCount val="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4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3</c:v>
                  </c:pt>
                  <c:pt idx="31">
                    <c:v>4</c:v>
                  </c:pt>
                  <c:pt idx="32">
                    <c:v>1</c:v>
                  </c:pt>
                  <c:pt idx="33">
                    <c:v>2</c:v>
                  </c:pt>
                  <c:pt idx="34">
                    <c:v>3</c:v>
                  </c:pt>
                  <c:pt idx="35">
                    <c:v>4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  <c:pt idx="20">
                    <c:v>2028</c:v>
                  </c:pt>
                  <c:pt idx="24">
                    <c:v>2029</c:v>
                  </c:pt>
                  <c:pt idx="28">
                    <c:v>2030</c:v>
                  </c:pt>
                  <c:pt idx="32">
                    <c:v>2031</c:v>
                  </c:pt>
                  <c:pt idx="36">
                    <c:v>2032</c:v>
                  </c:pt>
                </c:lvl>
              </c:multiLvlStrCache>
            </c:multiLvlStrRef>
          </c:cat>
          <c:val>
            <c:numRef>
              <c:f>Graph!$C$7:$AP$7</c:f>
              <c:numCache>
                <c:formatCode>0.0%</c:formatCode>
                <c:ptCount val="40"/>
                <c:pt idx="0">
                  <c:v>9.8200493827160493E-2</c:v>
                </c:pt>
                <c:pt idx="1">
                  <c:v>9.7831964584112738E-2</c:v>
                </c:pt>
                <c:pt idx="2">
                  <c:v>9.7462111884274852E-2</c:v>
                </c:pt>
                <c:pt idx="3">
                  <c:v>9.7097553011597462E-2</c:v>
                </c:pt>
                <c:pt idx="4">
                  <c:v>9.6076726290371367E-2</c:v>
                </c:pt>
                <c:pt idx="5">
                  <c:v>9.55854734535002E-2</c:v>
                </c:pt>
                <c:pt idx="6">
                  <c:v>9.5234367741561715E-2</c:v>
                </c:pt>
                <c:pt idx="7">
                  <c:v>9.4811203281971707E-2</c:v>
                </c:pt>
                <c:pt idx="8">
                  <c:v>9.222647617078604E-2</c:v>
                </c:pt>
                <c:pt idx="9">
                  <c:v>9.1867486798308931E-2</c:v>
                </c:pt>
                <c:pt idx="10">
                  <c:v>9.150691011903761E-2</c:v>
                </c:pt>
                <c:pt idx="11">
                  <c:v>9.1170826729466498E-2</c:v>
                </c:pt>
                <c:pt idx="12">
                  <c:v>9.204260990269672E-2</c:v>
                </c:pt>
                <c:pt idx="13">
                  <c:v>9.1977029012932116E-2</c:v>
                </c:pt>
                <c:pt idx="14">
                  <c:v>9.1541180925929513E-2</c:v>
                </c:pt>
                <c:pt idx="15">
                  <c:v>9.1098138818632296E-2</c:v>
                </c:pt>
                <c:pt idx="16">
                  <c:v>9.0149436713636052E-2</c:v>
                </c:pt>
                <c:pt idx="17">
                  <c:v>8.9723120191558522E-2</c:v>
                </c:pt>
                <c:pt idx="18">
                  <c:v>8.929083462081612E-2</c:v>
                </c:pt>
                <c:pt idx="19">
                  <c:v>8.8858549050073704E-2</c:v>
                </c:pt>
                <c:pt idx="20">
                  <c:v>8.8658103944356026E-2</c:v>
                </c:pt>
                <c:pt idx="21">
                  <c:v>8.8552050533387106E-2</c:v>
                </c:pt>
                <c:pt idx="22">
                  <c:v>8.8445997122418171E-2</c:v>
                </c:pt>
                <c:pt idx="23">
                  <c:v>8.8339943711449251E-2</c:v>
                </c:pt>
                <c:pt idx="24">
                  <c:v>8.8291304287088687E-2</c:v>
                </c:pt>
                <c:pt idx="25">
                  <c:v>8.8290324188066538E-2</c:v>
                </c:pt>
                <c:pt idx="26">
                  <c:v>8.8285840821070521E-2</c:v>
                </c:pt>
                <c:pt idx="27">
                  <c:v>8.8168851701255199E-2</c:v>
                </c:pt>
                <c:pt idx="28">
                  <c:v>8.8067171695920932E-2</c:v>
                </c:pt>
                <c:pt idx="29">
                  <c:v>8.8049350543355456E-2</c:v>
                </c:pt>
                <c:pt idx="30">
                  <c:v>8.8031529390789995E-2</c:v>
                </c:pt>
                <c:pt idx="31">
                  <c:v>8.8013708238224533E-2</c:v>
                </c:pt>
                <c:pt idx="32">
                  <c:v>8.7896989051091112E-2</c:v>
                </c:pt>
                <c:pt idx="33">
                  <c:v>8.7830358783587928E-2</c:v>
                </c:pt>
                <c:pt idx="34">
                  <c:v>8.7804605044964665E-2</c:v>
                </c:pt>
                <c:pt idx="35">
                  <c:v>8.7787337736224241E-2</c:v>
                </c:pt>
                <c:pt idx="36">
                  <c:v>8.7731657560605414E-2</c:v>
                </c:pt>
                <c:pt idx="37">
                  <c:v>8.7586551476840316E-2</c:v>
                </c:pt>
                <c:pt idx="38">
                  <c:v>8.7592156705598487E-2</c:v>
                </c:pt>
                <c:pt idx="39">
                  <c:v>8.7595158102734924E-2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FF-4A52-B67A-9CAD8D4EF6D7}"/>
            </c:ext>
          </c:extLst>
        </c:ser>
        <c:ser>
          <c:idx val="5"/>
          <c:order val="5"/>
          <c:tx>
            <c:strRef>
              <c:f>Graph!$A$8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Graph!$C$1:$AP$2</c:f>
              <c:multiLvlStrCache>
                <c:ptCount val="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1</c:v>
                  </c:pt>
                  <c:pt idx="17">
                    <c:v>2</c:v>
                  </c:pt>
                  <c:pt idx="18">
                    <c:v>3</c:v>
                  </c:pt>
                  <c:pt idx="19">
                    <c:v>4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4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3</c:v>
                  </c:pt>
                  <c:pt idx="31">
                    <c:v>4</c:v>
                  </c:pt>
                  <c:pt idx="32">
                    <c:v>1</c:v>
                  </c:pt>
                  <c:pt idx="33">
                    <c:v>2</c:v>
                  </c:pt>
                  <c:pt idx="34">
                    <c:v>3</c:v>
                  </c:pt>
                  <c:pt idx="35">
                    <c:v>4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  <c:pt idx="12">
                    <c:v>2026</c:v>
                  </c:pt>
                  <c:pt idx="16">
                    <c:v>2027</c:v>
                  </c:pt>
                  <c:pt idx="20">
                    <c:v>2028</c:v>
                  </c:pt>
                  <c:pt idx="24">
                    <c:v>2029</c:v>
                  </c:pt>
                  <c:pt idx="28">
                    <c:v>2030</c:v>
                  </c:pt>
                  <c:pt idx="32">
                    <c:v>2031</c:v>
                  </c:pt>
                  <c:pt idx="36">
                    <c:v>2032</c:v>
                  </c:pt>
                </c:lvl>
              </c:multiLvlStrCache>
            </c:multiLvlStrRef>
          </c:cat>
          <c:val>
            <c:numRef>
              <c:f>Graph!$C$8:$AP$8</c:f>
              <c:numCache>
                <c:formatCode>0.0%</c:formatCode>
                <c:ptCount val="40"/>
                <c:pt idx="0">
                  <c:v>4.2504691358024725E-2</c:v>
                </c:pt>
                <c:pt idx="1">
                  <c:v>4.2345178700586142E-2</c:v>
                </c:pt>
                <c:pt idx="2">
                  <c:v>4.2185093203641388E-2</c:v>
                </c:pt>
                <c:pt idx="3">
                  <c:v>4.2027299064721323E-2</c:v>
                </c:pt>
                <c:pt idx="4">
                  <c:v>4.1585448692847339E-2</c:v>
                </c:pt>
                <c:pt idx="5">
                  <c:v>4.1372816867932954E-2</c:v>
                </c:pt>
                <c:pt idx="6">
                  <c:v>4.1220845738884952E-2</c:v>
                </c:pt>
                <c:pt idx="7">
                  <c:v>4.1037685002644507E-2</c:v>
                </c:pt>
                <c:pt idx="8">
                  <c:v>3.9918922521683539E-2</c:v>
                </c:pt>
                <c:pt idx="9">
                  <c:v>3.9763539061954643E-2</c:v>
                </c:pt>
                <c:pt idx="10">
                  <c:v>3.9607468558986461E-2</c:v>
                </c:pt>
                <c:pt idx="11">
                  <c:v>3.9461999629172101E-2</c:v>
                </c:pt>
                <c:pt idx="12">
                  <c:v>3.9839338614600102E-2</c:v>
                </c:pt>
                <c:pt idx="13">
                  <c:v>3.9810952856343784E-2</c:v>
                </c:pt>
                <c:pt idx="14">
                  <c:v>3.9622302191820266E-2</c:v>
                </c:pt>
                <c:pt idx="15">
                  <c:v>3.9430537697616994E-2</c:v>
                </c:pt>
                <c:pt idx="16">
                  <c:v>3.9019905443215638E-2</c:v>
                </c:pt>
                <c:pt idx="17">
                  <c:v>3.8835380381420884E-2</c:v>
                </c:pt>
                <c:pt idx="18">
                  <c:v>3.8648271701547304E-2</c:v>
                </c:pt>
                <c:pt idx="19">
                  <c:v>3.8461163021673725E-2</c:v>
                </c:pt>
                <c:pt idx="20">
                  <c:v>3.8374403199795924E-2</c:v>
                </c:pt>
                <c:pt idx="21">
                  <c:v>3.8328499484600417E-2</c:v>
                </c:pt>
                <c:pt idx="22">
                  <c:v>3.828259576940491E-2</c:v>
                </c:pt>
                <c:pt idx="23">
                  <c:v>3.8236692054209404E-2</c:v>
                </c:pt>
                <c:pt idx="24">
                  <c:v>3.8215639169038418E-2</c:v>
                </c:pt>
                <c:pt idx="25">
                  <c:v>3.8215214947073604E-2</c:v>
                </c:pt>
                <c:pt idx="26">
                  <c:v>3.8213274385239512E-2</c:v>
                </c:pt>
                <c:pt idx="27">
                  <c:v>3.8162637303528396E-2</c:v>
                </c:pt>
                <c:pt idx="28">
                  <c:v>3.811862655495088E-2</c:v>
                </c:pt>
                <c:pt idx="29">
                  <c:v>3.8110912921750902E-2</c:v>
                </c:pt>
                <c:pt idx="30">
                  <c:v>3.8103199288550924E-2</c:v>
                </c:pt>
                <c:pt idx="31">
                  <c:v>3.8095485655350945E-2</c:v>
                </c:pt>
                <c:pt idx="32">
                  <c:v>3.8044965410173798E-2</c:v>
                </c:pt>
                <c:pt idx="33">
                  <c:v>3.8016125443642565E-2</c:v>
                </c:pt>
                <c:pt idx="34">
                  <c:v>3.8004978303044439E-2</c:v>
                </c:pt>
                <c:pt idx="35">
                  <c:v>3.7997504393291123E-2</c:v>
                </c:pt>
                <c:pt idx="36">
                  <c:v>3.7973404018769537E-2</c:v>
                </c:pt>
                <c:pt idx="37">
                  <c:v>3.7910596907886132E-2</c:v>
                </c:pt>
                <c:pt idx="38">
                  <c:v>3.7913023051676993E-2</c:v>
                </c:pt>
                <c:pt idx="39">
                  <c:v>3.7914322163870369E-2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2FF-4A52-B67A-9CAD8D4EF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14479"/>
        <c:axId val="27413231"/>
      </c:lineChart>
      <c:catAx>
        <c:axId val="27414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13231"/>
        <c:crosses val="autoZero"/>
        <c:auto val="1"/>
        <c:lblAlgn val="ctr"/>
        <c:lblOffset val="100"/>
        <c:noMultiLvlLbl val="0"/>
      </c:catAx>
      <c:valAx>
        <c:axId val="2741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14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522941</xdr:colOff>
      <xdr:row>1</xdr:row>
      <xdr:rowOff>106416</xdr:rowOff>
    </xdr:from>
    <xdr:to>
      <xdr:col>7</xdr:col>
      <xdr:colOff>576541</xdr:colOff>
      <xdr:row>11</xdr:row>
      <xdr:rowOff>70275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FC231D-541B-4051-A5BD-720350B77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2541" y="284216"/>
          <a:ext cx="3711200" cy="17418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97885</xdr:colOff>
      <xdr:row>22</xdr:row>
      <xdr:rowOff>169889</xdr:rowOff>
    </xdr:from>
    <xdr:to>
      <xdr:col>13</xdr:col>
      <xdr:colOff>515814</xdr:colOff>
      <xdr:row>37</xdr:row>
      <xdr:rowOff>165254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C870506-6E4F-4108-ADE5-31153BCB0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57</xdr:col>
      <xdr:colOff>247403</xdr:colOff>
      <xdr:row>23</xdr:row>
      <xdr:rowOff>59376</xdr:rowOff>
    </xdr:from>
    <xdr:to>
      <xdr:col>64</xdr:col>
      <xdr:colOff>118754</xdr:colOff>
      <xdr:row>27</xdr:row>
      <xdr:rowOff>-1</xdr:rowOff>
    </xdr:to>
    <xdr:sp macro="[0]!incremen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738ACC-976C-4183-A425-B6961B5955D8}"/>
            </a:ext>
          </a:extLst>
        </xdr:cNvPr>
        <xdr:cNvSpPr/>
      </xdr:nvSpPr>
      <xdr:spPr>
        <a:xfrm>
          <a:off x="29470598" y="4166259"/>
          <a:ext cx="4166260" cy="65314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FIND</a:t>
          </a:r>
          <a:r>
            <a:rPr lang="en-US" sz="2000" baseline="0"/>
            <a:t> MARKET SHARE INCREMENT </a:t>
          </a:r>
          <a:endParaRPr lang="en-US" sz="2000"/>
        </a:p>
      </xdr:txBody>
    </xdr:sp>
    <xdr:clientData/>
  </xdr:twoCellAnchor>
  <xdr:twoCellAnchor>
    <xdr:from>
      <xdr:col>53</xdr:col>
      <xdr:colOff>599440</xdr:colOff>
      <xdr:row>29</xdr:row>
      <xdr:rowOff>172720</xdr:rowOff>
    </xdr:from>
    <xdr:to>
      <xdr:col>59</xdr:col>
      <xdr:colOff>40640</xdr:colOff>
      <xdr:row>35</xdr:row>
      <xdr:rowOff>10160</xdr:rowOff>
    </xdr:to>
    <xdr:sp macro="[0]!alpha" textlink="">
      <xdr:nvSpPr>
        <xdr:cNvPr id="4" name="Oval 3">
          <a:extLst>
            <a:ext uri="{FF2B5EF4-FFF2-40B4-BE49-F238E27FC236}">
              <a16:creationId xmlns:a16="http://schemas.microsoft.com/office/drawing/2014/main" id="{3AF8CAB5-F686-4779-928A-C5D0C0A903A4}"/>
            </a:ext>
          </a:extLst>
        </xdr:cNvPr>
        <xdr:cNvSpPr/>
      </xdr:nvSpPr>
      <xdr:spPr>
        <a:xfrm>
          <a:off x="27218640" y="5486400"/>
          <a:ext cx="3098800" cy="934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294621</xdr:colOff>
      <xdr:row>98</xdr:row>
      <xdr:rowOff>140989</xdr:rowOff>
    </xdr:from>
    <xdr:to>
      <xdr:col>17</xdr:col>
      <xdr:colOff>104686</xdr:colOff>
      <xdr:row>114</xdr:row>
      <xdr:rowOff>147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6B61980-3BA1-4F4B-A91A-573802764A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295633</xdr:colOff>
      <xdr:row>97</xdr:row>
      <xdr:rowOff>84222</xdr:rowOff>
    </xdr:from>
    <xdr:to>
      <xdr:col>28</xdr:col>
      <xdr:colOff>602143</xdr:colOff>
      <xdr:row>112</xdr:row>
      <xdr:rowOff>133022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AB3AF6C-5602-4234-8FBF-EF3306E6F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102054</xdr:colOff>
      <xdr:row>138</xdr:row>
      <xdr:rowOff>27668</xdr:rowOff>
    </xdr:from>
    <xdr:to>
      <xdr:col>9</xdr:col>
      <xdr:colOff>351518</xdr:colOff>
      <xdr:row>153</xdr:row>
      <xdr:rowOff>58511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1CA23439-FA12-4CF4-8B69-00C589E6BF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224851</xdr:colOff>
      <xdr:row>26</xdr:row>
      <xdr:rowOff>37476</xdr:rowOff>
    </xdr:from>
    <xdr:to>
      <xdr:col>58</xdr:col>
      <xdr:colOff>37474</xdr:colOff>
      <xdr:row>27</xdr:row>
      <xdr:rowOff>118673</xdr:rowOff>
    </xdr:to>
    <xdr:sp macro="[0]!BEP_L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80BAAE-90E6-4CD2-BA79-477ECEBBB0B8}"/>
            </a:ext>
          </a:extLst>
        </xdr:cNvPr>
        <xdr:cNvSpPr/>
      </xdr:nvSpPr>
      <xdr:spPr>
        <a:xfrm>
          <a:off x="25077294" y="4771869"/>
          <a:ext cx="1717623" cy="2748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FIND</a:t>
          </a:r>
          <a:r>
            <a:rPr lang="en-US" sz="1100" baseline="0"/>
            <a:t> BEP LOAD F 75%</a:t>
          </a:r>
        </a:p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315258</xdr:colOff>
      <xdr:row>25</xdr:row>
      <xdr:rowOff>144820</xdr:rowOff>
    </xdr:from>
    <xdr:to>
      <xdr:col>30</xdr:col>
      <xdr:colOff>110590</xdr:colOff>
      <xdr:row>40</xdr:row>
      <xdr:rowOff>137216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360A1F-2125-4AFA-831A-37F107130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57</xdr:col>
      <xdr:colOff>247403</xdr:colOff>
      <xdr:row>23</xdr:row>
      <xdr:rowOff>59376</xdr:rowOff>
    </xdr:from>
    <xdr:to>
      <xdr:col>64</xdr:col>
      <xdr:colOff>118754</xdr:colOff>
      <xdr:row>27</xdr:row>
      <xdr:rowOff>-1</xdr:rowOff>
    </xdr:to>
    <xdr:sp macro="[0]!increme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DC2C89-B727-4CCE-B957-F90BA51FC30C}"/>
            </a:ext>
          </a:extLst>
        </xdr:cNvPr>
        <xdr:cNvSpPr/>
      </xdr:nvSpPr>
      <xdr:spPr>
        <a:xfrm>
          <a:off x="29302463" y="4273236"/>
          <a:ext cx="4138551" cy="67214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FIND</a:t>
          </a:r>
          <a:r>
            <a:rPr lang="en-US" sz="2000" baseline="0"/>
            <a:t> MARKET SHARE INCREMENT </a:t>
          </a:r>
          <a:endParaRPr lang="en-US" sz="2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34925</xdr:colOff>
      <xdr:row>10</xdr:row>
      <xdr:rowOff>140153</xdr:rowOff>
    </xdr:from>
    <xdr:to>
      <xdr:col>23</xdr:col>
      <xdr:colOff>402771</xdr:colOff>
      <xdr:row>28</xdr:row>
      <xdr:rowOff>86178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1800DB-03FA-4413-9614-D370AB93E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erjaan\2015\RPP%202016\150605_RPP%202016_JKTDB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Airbus%20330/Engine/reconcile/2015/Engine%20Trent%20Utilization%20Jan-Dec%202015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cuments\Dasboard\salary-survey-entry-14-peterdamia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Airbus%20330/Engine/reconcile/2014/Copy%20of%20Reconciliation%20model%20201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OL%20List%202001\OL%20list%20200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13618035_office_itb_ac_id/Documents/JURUSAN/Perancangan%20Sistem%20Aviasi%20(Group%201)/Cost%20Analysis/scenario%201%20co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chedule"/>
      <sheetName val="convert"/>
      <sheetName val="output"/>
      <sheetName val="quarterly output"/>
      <sheetName val="Summary"/>
      <sheetName val="dataOL"/>
      <sheetName val="Sheet2"/>
      <sheetName val="other"/>
      <sheetName val="DariRPP"/>
      <sheetName val="Landing"/>
      <sheetName val="dBase"/>
      <sheetName val="CheckLeg"/>
      <sheetName val="per_ac_svc"/>
      <sheetName val="basic"/>
      <sheetName val="FleetQP"/>
      <sheetName val="MTC"/>
      <sheetName val="LDG-DPT"/>
      <sheetName val="No_Landing"/>
      <sheetName val="No_Departure"/>
      <sheetName val="output2"/>
      <sheetName val="Cargo Cap GF"/>
      <sheetName val="Traffic Related Cost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Utilization 5496"/>
      <sheetName val="Utilization 5496 (2)"/>
      <sheetName val="Sheet3"/>
      <sheetName val="Utilization 6160"/>
      <sheetName val="Utilization 6511"/>
      <sheetName val="Utilization 6584"/>
      <sheetName val="Sheet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ary-survey-entry-14-peterdam"/>
      <sheetName val="View"/>
      <sheetName val="Data"/>
      <sheetName val="S. Round Trip"/>
      <sheetName val="Output"/>
      <sheetName val="Data &amp; Charts"/>
      <sheetName val="Route"/>
      <sheetName val="Services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nciliation"/>
      <sheetName val="Hours and Cycles Input"/>
      <sheetName val="Derate Input"/>
      <sheetName val="Non-Benign Deps Input"/>
      <sheetName val="Adjust Master"/>
      <sheetName val="Adjust 1"/>
      <sheetName val="Adjust 2"/>
      <sheetName val="Adjust 3"/>
      <sheetName val="Adjust 4"/>
      <sheetName val="Adjust 5"/>
      <sheetName val="Adjust 6"/>
      <sheetName val="Interpolation"/>
      <sheetName val="Error List"/>
      <sheetName val="List data"/>
      <sheetName val="PA assumptions"/>
      <sheetName val="Fleet 1"/>
      <sheetName val="Fleet 2"/>
      <sheetName val="Fleet 3"/>
      <sheetName val="Fleet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er"/>
      <sheetName val="Winter"/>
      <sheetName val="COBA"/>
      <sheetName val="bgt"/>
    </sheetNames>
    <sheetDataSet>
      <sheetData sheetId="0"/>
      <sheetData sheetId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 Formula"/>
      <sheetName val="Aircrafts candidate data"/>
      <sheetName val="Maintenance Cost"/>
      <sheetName val="Parking &amp; Landing Fee"/>
      <sheetName val="Spec Aircraft Rapi"/>
      <sheetName val="Block time &amp; Fuel"/>
      <sheetName val="cost rute lama"/>
      <sheetName val="No. of aircraft"/>
      <sheetName val="Summary RP"/>
      <sheetName val="cost rute baru"/>
      <sheetName val="Aglis Market Share"/>
      <sheetName val="BEP Load Factor (2)"/>
      <sheetName val="BEP Load Factor"/>
      <sheetName val="BEP Price Per Year"/>
      <sheetName val="Profit per year"/>
      <sheetName val="Cash Flow A321"/>
      <sheetName val="Cash Flow B73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4">
          <cell r="BA64">
            <v>0.3749074056519055</v>
          </cell>
          <cell r="BB64">
            <v>0.30447195796969478</v>
          </cell>
          <cell r="BC64">
            <v>0.35089161285093562</v>
          </cell>
          <cell r="BD64">
            <v>0.34777970648341427</v>
          </cell>
          <cell r="BE64">
            <v>0.23769123572346759</v>
          </cell>
          <cell r="BF64">
            <v>0.52297627909783673</v>
          </cell>
          <cell r="BG64">
            <v>0.40837096182847304</v>
          </cell>
          <cell r="BH64">
            <v>0.45202194801548851</v>
          </cell>
          <cell r="BI64">
            <v>0.4852194813210205</v>
          </cell>
          <cell r="BJ64">
            <v>0.79652526346375541</v>
          </cell>
          <cell r="BK64">
            <v>0.23137366773730914</v>
          </cell>
          <cell r="BL64">
            <v>0.35541591311963078</v>
          </cell>
          <cell r="BM64">
            <v>0.40546076379215307</v>
          </cell>
          <cell r="BN64">
            <v>0.5988302434632321</v>
          </cell>
          <cell r="BO64">
            <v>0.33156028540080457</v>
          </cell>
          <cell r="BP64">
            <v>0.60668176636287163</v>
          </cell>
          <cell r="BQ64">
            <v>0.34594782430787019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A4225-70FA-4230-8A4F-E2828A4DB983}">
  <sheetPr codeName="Sheet1"/>
  <dimension ref="A1:Z63"/>
  <sheetViews>
    <sheetView showGridLines="0" topLeftCell="A11" zoomScale="85" zoomScaleNormal="85" workbookViewId="0">
      <selection activeCell="H16" sqref="H16"/>
    </sheetView>
  </sheetViews>
  <sheetFormatPr defaultColWidth="8.85546875" defaultRowHeight="14.1"/>
  <cols>
    <col min="1" max="16384" width="8.85546875" style="2"/>
  </cols>
  <sheetData>
    <row r="1" spans="1:26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"/>
      <c r="L12" s="3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1"/>
      <c r="C13" s="4" t="s">
        <v>0</v>
      </c>
      <c r="L13" s="3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C14" s="2" t="s">
        <v>1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C15" s="5" t="s">
        <v>2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C18" s="6" t="s">
        <v>3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C19" s="7" t="s">
        <v>4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C20" s="7" t="s">
        <v>5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C21" s="7" t="s">
        <v>6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C22" s="7" t="s">
        <v>7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C23" s="7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C24" s="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8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8"/>
      <c r="C26" s="9" t="s">
        <v>8</v>
      </c>
      <c r="D26" s="10"/>
      <c r="E26" s="10"/>
      <c r="F26" s="10"/>
      <c r="G26" s="10"/>
      <c r="H26" s="10"/>
      <c r="I26" s="10"/>
      <c r="J26" s="10"/>
      <c r="K26" s="10"/>
      <c r="L26" s="10"/>
      <c r="M26" s="8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8"/>
      <c r="M27" s="8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8"/>
      <c r="C28" s="11"/>
      <c r="D28" s="12"/>
      <c r="M28" s="8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8"/>
      <c r="C29" s="11"/>
      <c r="D29" s="12"/>
      <c r="M29" s="8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8"/>
      <c r="M30" s="8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8"/>
      <c r="C31" s="9" t="s">
        <v>9</v>
      </c>
      <c r="D31" s="10"/>
      <c r="E31" s="10"/>
      <c r="F31" s="10"/>
      <c r="G31" s="10"/>
      <c r="H31" s="10"/>
      <c r="I31" s="10"/>
      <c r="J31" s="10"/>
      <c r="K31" s="10"/>
      <c r="L31" s="10"/>
      <c r="M31" s="8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8"/>
      <c r="C32" s="2" t="s">
        <v>10</v>
      </c>
      <c r="M32" s="8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1"/>
      <c r="B33" s="8"/>
      <c r="C33" s="2" t="s">
        <v>11</v>
      </c>
      <c r="M33" s="8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8"/>
      <c r="C34" s="13"/>
      <c r="M34" s="8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</sheetData>
  <hyperlinks>
    <hyperlink ref="C19" location="'Database Production'!A1" display="1. Database Production" xr:uid="{8E891519-0591-4970-B5A8-60F5061FD024}"/>
  </hyperlink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85C1A-E175-4984-AD04-B2A2258FBD5A}">
  <sheetPr codeName="Sheet2"/>
  <dimension ref="A1:EH176"/>
  <sheetViews>
    <sheetView zoomScale="85" zoomScaleNormal="130" workbookViewId="0">
      <selection activeCell="A24" sqref="A24:T24"/>
    </sheetView>
  </sheetViews>
  <sheetFormatPr defaultRowHeight="14.45"/>
  <cols>
    <col min="1" max="1" width="5.85546875" customWidth="1"/>
    <col min="2" max="2" width="9.140625" bestFit="1" customWidth="1"/>
    <col min="3" max="3" width="8.140625" customWidth="1"/>
    <col min="4" max="4" width="9.140625" bestFit="1" customWidth="1"/>
    <col min="5" max="5" width="11" bestFit="1" customWidth="1"/>
    <col min="6" max="8" width="8.5703125" bestFit="1" customWidth="1"/>
    <col min="9" max="10" width="7.140625" bestFit="1" customWidth="1"/>
    <col min="11" max="42" width="8.85546875" bestFit="1" customWidth="1"/>
    <col min="43" max="46" width="2" bestFit="1" customWidth="1"/>
  </cols>
  <sheetData>
    <row r="1" spans="1:138">
      <c r="C1" s="113" t="s">
        <v>12</v>
      </c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Y1" s="113" t="s">
        <v>13</v>
      </c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</row>
    <row r="2" spans="1:138">
      <c r="A2" s="117"/>
      <c r="B2" s="117"/>
      <c r="C2" s="115">
        <v>2023</v>
      </c>
      <c r="D2" s="115"/>
      <c r="E2" s="115"/>
      <c r="F2" s="115"/>
      <c r="G2" s="112">
        <v>2024</v>
      </c>
      <c r="H2" s="112"/>
      <c r="I2" s="112"/>
      <c r="J2" s="112"/>
      <c r="K2" s="116">
        <v>2025</v>
      </c>
      <c r="L2" s="116"/>
      <c r="M2" s="116"/>
      <c r="N2" s="116"/>
      <c r="O2" s="112">
        <v>2026</v>
      </c>
      <c r="P2" s="112"/>
      <c r="Q2" s="112"/>
      <c r="R2" s="112"/>
      <c r="S2" s="111">
        <v>2027</v>
      </c>
      <c r="T2" s="111"/>
      <c r="U2" s="111"/>
      <c r="V2" s="111"/>
      <c r="W2" s="112">
        <v>2028</v>
      </c>
      <c r="X2" s="112"/>
      <c r="Y2" s="112"/>
      <c r="Z2" s="112"/>
      <c r="AA2" s="111">
        <v>2029</v>
      </c>
      <c r="AB2" s="111"/>
      <c r="AC2" s="111"/>
      <c r="AD2" s="111"/>
      <c r="AE2" s="112">
        <v>2030</v>
      </c>
      <c r="AF2" s="112"/>
      <c r="AG2" s="112"/>
      <c r="AH2" s="112"/>
      <c r="AI2" s="111">
        <v>2031</v>
      </c>
      <c r="AJ2" s="111"/>
      <c r="AK2" s="111"/>
      <c r="AL2" s="111"/>
      <c r="AM2" s="112">
        <v>2032</v>
      </c>
      <c r="AN2" s="112"/>
      <c r="AO2" s="112"/>
      <c r="AP2" s="112"/>
      <c r="AQ2" s="111">
        <v>2033</v>
      </c>
      <c r="AR2" s="111"/>
      <c r="AS2" s="111"/>
      <c r="AT2" s="111"/>
      <c r="AW2" s="117"/>
      <c r="AX2" s="117"/>
      <c r="AY2" s="115">
        <v>2023</v>
      </c>
      <c r="AZ2" s="115"/>
      <c r="BA2" s="115"/>
      <c r="BB2" s="115"/>
      <c r="BC2" s="112">
        <v>2024</v>
      </c>
      <c r="BD2" s="112"/>
      <c r="BE2" s="112"/>
      <c r="BF2" s="112"/>
      <c r="BG2" s="116">
        <v>2025</v>
      </c>
      <c r="BH2" s="116"/>
      <c r="BI2" s="116"/>
      <c r="BJ2" s="116"/>
      <c r="BK2" s="112">
        <v>2026</v>
      </c>
      <c r="BL2" s="112"/>
      <c r="BM2" s="112"/>
      <c r="BN2" s="112"/>
      <c r="BO2" s="111">
        <v>2027</v>
      </c>
      <c r="BP2" s="111"/>
      <c r="BQ2" s="111"/>
      <c r="BR2" s="111"/>
      <c r="BS2" s="112">
        <v>2028</v>
      </c>
      <c r="BT2" s="112"/>
      <c r="BU2" s="112"/>
      <c r="BV2" s="112"/>
      <c r="BW2" s="111">
        <v>2029</v>
      </c>
      <c r="BX2" s="111"/>
      <c r="BY2" s="111"/>
      <c r="BZ2" s="111"/>
      <c r="CA2" s="112">
        <v>2030</v>
      </c>
      <c r="CB2" s="112"/>
      <c r="CC2" s="112"/>
      <c r="CD2" s="112"/>
      <c r="CE2" s="111">
        <v>2031</v>
      </c>
      <c r="CF2" s="111"/>
      <c r="CG2" s="111"/>
      <c r="CH2" s="111"/>
      <c r="CI2" s="112">
        <v>2032</v>
      </c>
      <c r="CJ2" s="112"/>
      <c r="CK2" s="112"/>
      <c r="CL2" s="112"/>
      <c r="CM2" s="111">
        <v>2033</v>
      </c>
      <c r="CN2" s="111"/>
      <c r="CO2" s="111"/>
      <c r="CP2" s="111"/>
      <c r="CU2" s="115">
        <v>2023</v>
      </c>
      <c r="CV2" s="115"/>
      <c r="CW2" s="115"/>
      <c r="CX2" s="115"/>
      <c r="CY2" s="112">
        <v>2024</v>
      </c>
      <c r="CZ2" s="112"/>
      <c r="DA2" s="112"/>
      <c r="DB2" s="112"/>
      <c r="DC2" s="116">
        <v>2025</v>
      </c>
      <c r="DD2" s="116"/>
      <c r="DE2" s="116"/>
      <c r="DF2" s="116"/>
      <c r="DG2" s="112">
        <v>2026</v>
      </c>
      <c r="DH2" s="112"/>
      <c r="DI2" s="112"/>
      <c r="DJ2" s="112"/>
      <c r="DK2" s="111">
        <v>2027</v>
      </c>
      <c r="DL2" s="111"/>
      <c r="DM2" s="111"/>
      <c r="DN2" s="111"/>
      <c r="DO2" s="112">
        <v>2028</v>
      </c>
      <c r="DP2" s="112"/>
      <c r="DQ2" s="112"/>
      <c r="DR2" s="112"/>
      <c r="DS2" s="111">
        <v>2029</v>
      </c>
      <c r="DT2" s="111"/>
      <c r="DU2" s="111"/>
      <c r="DV2" s="111"/>
      <c r="DW2" s="112">
        <v>2030</v>
      </c>
      <c r="DX2" s="112"/>
      <c r="DY2" s="112"/>
      <c r="DZ2" s="112"/>
      <c r="EA2" s="111">
        <v>2031</v>
      </c>
      <c r="EB2" s="111"/>
      <c r="EC2" s="111"/>
      <c r="ED2" s="111"/>
      <c r="EE2" s="112">
        <v>2032</v>
      </c>
      <c r="EF2" s="112"/>
      <c r="EG2" s="112"/>
      <c r="EH2" s="112"/>
    </row>
    <row r="3" spans="1:138">
      <c r="A3" s="117"/>
      <c r="B3" s="117"/>
      <c r="C3" s="70">
        <v>1</v>
      </c>
      <c r="D3" s="70">
        <v>2</v>
      </c>
      <c r="E3" s="70">
        <v>3</v>
      </c>
      <c r="F3" s="70">
        <v>4</v>
      </c>
      <c r="G3" s="70">
        <v>1</v>
      </c>
      <c r="H3" s="70">
        <v>2</v>
      </c>
      <c r="I3" s="70">
        <v>3</v>
      </c>
      <c r="J3" s="70">
        <v>4</v>
      </c>
      <c r="K3" s="70">
        <v>1</v>
      </c>
      <c r="L3" s="70">
        <v>2</v>
      </c>
      <c r="M3" s="70">
        <v>3</v>
      </c>
      <c r="N3" s="70">
        <v>4</v>
      </c>
      <c r="O3" s="70">
        <v>1</v>
      </c>
      <c r="P3" s="70">
        <v>2</v>
      </c>
      <c r="Q3" s="70">
        <v>3</v>
      </c>
      <c r="R3" s="70">
        <v>4</v>
      </c>
      <c r="S3" s="70">
        <v>1</v>
      </c>
      <c r="T3" s="70">
        <v>2</v>
      </c>
      <c r="U3" s="70">
        <v>3</v>
      </c>
      <c r="V3" s="70">
        <v>4</v>
      </c>
      <c r="W3" s="70">
        <v>1</v>
      </c>
      <c r="X3" s="70">
        <v>2</v>
      </c>
      <c r="Y3" s="70">
        <v>3</v>
      </c>
      <c r="Z3" s="70">
        <v>4</v>
      </c>
      <c r="AA3" s="70">
        <v>1</v>
      </c>
      <c r="AB3" s="70">
        <v>2</v>
      </c>
      <c r="AC3" s="70">
        <v>3</v>
      </c>
      <c r="AD3" s="70">
        <v>4</v>
      </c>
      <c r="AE3" s="70">
        <v>1</v>
      </c>
      <c r="AF3" s="70">
        <v>2</v>
      </c>
      <c r="AG3" s="70">
        <v>3</v>
      </c>
      <c r="AH3" s="70">
        <v>4</v>
      </c>
      <c r="AI3" s="70">
        <v>1</v>
      </c>
      <c r="AJ3" s="70">
        <v>2</v>
      </c>
      <c r="AK3" s="70">
        <v>3</v>
      </c>
      <c r="AL3" s="70">
        <v>4</v>
      </c>
      <c r="AM3" s="70">
        <v>1</v>
      </c>
      <c r="AN3" s="70">
        <v>2</v>
      </c>
      <c r="AO3" s="70">
        <v>3</v>
      </c>
      <c r="AP3" s="70">
        <v>4</v>
      </c>
      <c r="AQ3" s="70">
        <v>1</v>
      </c>
      <c r="AR3" s="70">
        <v>2</v>
      </c>
      <c r="AS3" s="70">
        <v>3</v>
      </c>
      <c r="AT3" s="70">
        <v>4</v>
      </c>
      <c r="AW3" s="117"/>
      <c r="AX3" s="117"/>
      <c r="AY3" s="70">
        <v>1</v>
      </c>
      <c r="AZ3" s="70">
        <v>2</v>
      </c>
      <c r="BA3" s="70">
        <v>3</v>
      </c>
      <c r="BB3" s="70">
        <v>4</v>
      </c>
      <c r="BC3" s="70">
        <v>1</v>
      </c>
      <c r="BD3" s="70">
        <v>2</v>
      </c>
      <c r="BE3" s="70">
        <v>3</v>
      </c>
      <c r="BF3" s="70">
        <v>4</v>
      </c>
      <c r="BG3" s="70">
        <v>1</v>
      </c>
      <c r="BH3" s="70">
        <v>2</v>
      </c>
      <c r="BI3" s="70">
        <v>3</v>
      </c>
      <c r="BJ3" s="70">
        <v>4</v>
      </c>
      <c r="BK3" s="70">
        <v>1</v>
      </c>
      <c r="BL3" s="70">
        <v>2</v>
      </c>
      <c r="BM3" s="70">
        <v>3</v>
      </c>
      <c r="BN3" s="70">
        <v>4</v>
      </c>
      <c r="BO3" s="70">
        <v>1</v>
      </c>
      <c r="BP3" s="70">
        <v>2</v>
      </c>
      <c r="BQ3" s="70">
        <v>3</v>
      </c>
      <c r="BR3" s="70">
        <v>4</v>
      </c>
      <c r="BS3" s="70">
        <v>1</v>
      </c>
      <c r="BT3" s="70">
        <v>2</v>
      </c>
      <c r="BU3" s="70">
        <v>3</v>
      </c>
      <c r="BV3" s="70">
        <v>4</v>
      </c>
      <c r="BW3" s="70">
        <v>1</v>
      </c>
      <c r="BX3" s="70">
        <v>2</v>
      </c>
      <c r="BY3" s="70">
        <v>3</v>
      </c>
      <c r="BZ3" s="70">
        <v>4</v>
      </c>
      <c r="CA3" s="70">
        <v>1</v>
      </c>
      <c r="CB3" s="70">
        <v>2</v>
      </c>
      <c r="CC3" s="70">
        <v>3</v>
      </c>
      <c r="CD3" s="70">
        <v>4</v>
      </c>
      <c r="CE3" s="70">
        <v>1</v>
      </c>
      <c r="CF3" s="70">
        <v>2</v>
      </c>
      <c r="CG3" s="70">
        <v>3</v>
      </c>
      <c r="CH3" s="70">
        <v>4</v>
      </c>
      <c r="CI3" s="70">
        <v>1</v>
      </c>
      <c r="CJ3" s="70">
        <v>2</v>
      </c>
      <c r="CK3" s="70">
        <v>3</v>
      </c>
      <c r="CL3" s="70">
        <v>4</v>
      </c>
      <c r="CM3" s="70">
        <v>1</v>
      </c>
      <c r="CN3" s="70">
        <v>2</v>
      </c>
      <c r="CO3" s="70">
        <v>3</v>
      </c>
      <c r="CP3" s="70">
        <v>4</v>
      </c>
      <c r="CU3" s="70">
        <v>1</v>
      </c>
      <c r="CV3" s="70">
        <v>2</v>
      </c>
      <c r="CW3" s="70">
        <v>3</v>
      </c>
      <c r="CX3" s="70">
        <v>4</v>
      </c>
      <c r="CY3" s="70">
        <v>1</v>
      </c>
      <c r="CZ3" s="70">
        <v>2</v>
      </c>
      <c r="DA3" s="70">
        <v>3</v>
      </c>
      <c r="DB3" s="70">
        <v>4</v>
      </c>
      <c r="DC3" s="70">
        <v>1</v>
      </c>
      <c r="DD3" s="70">
        <v>2</v>
      </c>
      <c r="DE3" s="70">
        <v>3</v>
      </c>
      <c r="DF3" s="70">
        <v>4</v>
      </c>
      <c r="DG3" s="70">
        <v>1</v>
      </c>
      <c r="DH3" s="70">
        <v>2</v>
      </c>
      <c r="DI3" s="70">
        <v>3</v>
      </c>
      <c r="DJ3" s="70">
        <v>4</v>
      </c>
      <c r="DK3" s="70">
        <v>1</v>
      </c>
      <c r="DL3" s="70">
        <v>2</v>
      </c>
      <c r="DM3" s="70">
        <v>3</v>
      </c>
      <c r="DN3" s="70">
        <v>4</v>
      </c>
      <c r="DO3" s="70">
        <v>1</v>
      </c>
      <c r="DP3" s="70">
        <v>2</v>
      </c>
      <c r="DQ3" s="70">
        <v>3</v>
      </c>
      <c r="DR3" s="70">
        <v>4</v>
      </c>
      <c r="DS3" s="70">
        <v>1</v>
      </c>
      <c r="DT3" s="70">
        <v>2</v>
      </c>
      <c r="DU3" s="70">
        <v>3</v>
      </c>
      <c r="DV3" s="70">
        <v>4</v>
      </c>
      <c r="DW3" s="70">
        <v>1</v>
      </c>
      <c r="DX3" s="70">
        <v>2</v>
      </c>
      <c r="DY3" s="70">
        <v>3</v>
      </c>
      <c r="DZ3" s="70">
        <v>4</v>
      </c>
      <c r="EA3" s="70">
        <v>1</v>
      </c>
      <c r="EB3" s="70">
        <v>2</v>
      </c>
      <c r="EC3" s="70">
        <v>3</v>
      </c>
      <c r="ED3" s="70">
        <v>4</v>
      </c>
      <c r="EE3" s="70">
        <v>1</v>
      </c>
      <c r="EF3" s="70">
        <v>2</v>
      </c>
      <c r="EG3" s="70">
        <v>3</v>
      </c>
      <c r="EH3" s="70">
        <v>4</v>
      </c>
    </row>
    <row r="4" spans="1:138">
      <c r="A4" s="107">
        <v>1</v>
      </c>
      <c r="B4" s="47" t="s">
        <v>14</v>
      </c>
      <c r="C4" s="89">
        <v>0.15</v>
      </c>
      <c r="D4" s="89">
        <v>0.15375</v>
      </c>
      <c r="E4" s="89">
        <v>0.1575</v>
      </c>
      <c r="F4" s="89">
        <v>0.16125</v>
      </c>
      <c r="G4" s="89">
        <v>0.16991943428088943</v>
      </c>
      <c r="H4" s="89">
        <v>0.17470364754989576</v>
      </c>
      <c r="I4" s="89">
        <v>0.17765036588798205</v>
      </c>
      <c r="J4" s="89">
        <v>0.18151583169152841</v>
      </c>
      <c r="K4" s="89">
        <v>0.1825</v>
      </c>
      <c r="L4" s="89">
        <v>0.18459999999999999</v>
      </c>
      <c r="M4" s="89">
        <v>0.18787324150645957</v>
      </c>
      <c r="N4" s="89">
        <v>0.18787324150645957</v>
      </c>
      <c r="O4" s="89">
        <v>0.18787324150645957</v>
      </c>
      <c r="P4" s="89">
        <v>0.18787324150645957</v>
      </c>
      <c r="Q4" s="89">
        <v>0.18787324150645957</v>
      </c>
      <c r="R4" s="89">
        <v>0.18770000000000001</v>
      </c>
      <c r="S4" s="89">
        <v>0.18779999999999999</v>
      </c>
      <c r="T4" s="89">
        <v>0.18787324150645957</v>
      </c>
      <c r="U4" s="89">
        <v>0.18787324150645957</v>
      </c>
      <c r="V4" s="89">
        <v>0.18787324150645957</v>
      </c>
      <c r="W4" s="89">
        <v>0.18809999999999999</v>
      </c>
      <c r="X4" s="89">
        <v>0.18809999999999999</v>
      </c>
      <c r="Y4" s="89">
        <v>0.18809999999999999</v>
      </c>
      <c r="Z4" s="89">
        <v>0.18809999999999999</v>
      </c>
      <c r="AA4" s="89">
        <v>0.18809999999999999</v>
      </c>
      <c r="AB4" s="89">
        <v>0.18809999999999999</v>
      </c>
      <c r="AC4" s="89">
        <v>0.18859999999999999</v>
      </c>
      <c r="AD4" s="89">
        <v>0.18787324150645957</v>
      </c>
      <c r="AE4" s="89">
        <v>0.18787324150645957</v>
      </c>
      <c r="AF4" s="89">
        <v>0.18787324150645957</v>
      </c>
      <c r="AG4" s="89">
        <v>0.18787324150645957</v>
      </c>
      <c r="AH4" s="89">
        <v>0.18787324150645957</v>
      </c>
      <c r="AI4" s="89">
        <v>0.18787324150645957</v>
      </c>
      <c r="AJ4" s="89">
        <v>0.18787324150645957</v>
      </c>
      <c r="AK4" s="89">
        <v>0.18787324150645957</v>
      </c>
      <c r="AL4" s="89">
        <v>0.18787324150645957</v>
      </c>
      <c r="AM4" s="89">
        <v>0.18787324150645957</v>
      </c>
      <c r="AN4" s="89">
        <v>0.18787324150645957</v>
      </c>
      <c r="AO4" s="89">
        <v>0.18787324150645957</v>
      </c>
      <c r="AP4" s="89">
        <v>0.18787324150645957</v>
      </c>
      <c r="AQ4" s="20"/>
      <c r="AR4" s="20"/>
      <c r="AS4" s="20"/>
      <c r="AT4" s="20"/>
      <c r="AW4" s="107">
        <v>1</v>
      </c>
      <c r="AX4" s="47" t="s">
        <v>15</v>
      </c>
      <c r="AY4" s="84">
        <v>3.0000000000000001E-3</v>
      </c>
      <c r="AZ4" s="84">
        <v>2E-3</v>
      </c>
      <c r="BA4" s="84">
        <v>2E-3</v>
      </c>
      <c r="BB4" s="84">
        <v>2E-3</v>
      </c>
      <c r="BC4" s="84">
        <v>8.0000000000000002E-3</v>
      </c>
      <c r="BD4" s="84">
        <v>8.0000000000000002E-3</v>
      </c>
      <c r="BE4" s="84">
        <v>8.0000000000000002E-3</v>
      </c>
      <c r="BF4" s="84">
        <v>8.0000000000000002E-3</v>
      </c>
      <c r="BG4" s="84">
        <v>8.0000000000000002E-3</v>
      </c>
      <c r="BH4" s="84">
        <v>8.0000000000000002E-3</v>
      </c>
      <c r="BI4" s="84">
        <v>8.0000000000000002E-3</v>
      </c>
      <c r="BJ4" s="84">
        <v>8.0000000000000002E-3</v>
      </c>
      <c r="BK4" s="84">
        <v>8.0000000000000002E-3</v>
      </c>
      <c r="BL4" s="84">
        <v>8.0000000000000002E-3</v>
      </c>
      <c r="BM4" s="84">
        <v>8.0000000000000002E-3</v>
      </c>
      <c r="BN4" s="84">
        <v>8.0000000000000002E-3</v>
      </c>
      <c r="BO4" s="84">
        <v>8.0000000000000002E-3</v>
      </c>
      <c r="BP4" s="84">
        <v>8.0000000000000002E-3</v>
      </c>
      <c r="BQ4" s="84">
        <v>8.0000000000000002E-3</v>
      </c>
      <c r="BR4" s="84">
        <v>8.0000000000000002E-3</v>
      </c>
      <c r="BS4" s="84">
        <v>8.0000000000000002E-3</v>
      </c>
      <c r="BT4" s="84">
        <v>8.0000000000000002E-3</v>
      </c>
      <c r="BU4" s="84">
        <v>8.0000000000000002E-3</v>
      </c>
      <c r="BV4" s="84">
        <v>8.0000000000000002E-3</v>
      </c>
      <c r="BW4" s="84">
        <v>8.0000000000000002E-3</v>
      </c>
      <c r="BX4" s="84">
        <v>8.0000000000000002E-3</v>
      </c>
      <c r="BY4" s="84">
        <v>8.0000000000000002E-3</v>
      </c>
      <c r="BZ4" s="84">
        <v>8.0000000000000002E-3</v>
      </c>
      <c r="CA4" s="84">
        <v>8.0000000000000002E-3</v>
      </c>
      <c r="CB4" s="84">
        <v>8.0000000000000002E-3</v>
      </c>
      <c r="CC4" s="84">
        <v>8.0000000000000002E-3</v>
      </c>
      <c r="CD4" s="84">
        <v>8.0000000000000002E-3</v>
      </c>
      <c r="CE4" s="84">
        <v>8.0000000000000002E-3</v>
      </c>
      <c r="CF4" s="84">
        <v>8.0000000000000002E-3</v>
      </c>
      <c r="CG4" s="84">
        <v>8.0000000000000002E-3</v>
      </c>
      <c r="CH4" s="84">
        <v>8.0000000000000002E-3</v>
      </c>
      <c r="CI4" s="84">
        <v>8.0000000000000002E-3</v>
      </c>
      <c r="CJ4" s="84">
        <v>8.0000000000000002E-3</v>
      </c>
      <c r="CK4" s="84">
        <v>8.0000000000000002E-3</v>
      </c>
      <c r="CL4" s="84">
        <v>8.0000000000000002E-3</v>
      </c>
      <c r="CM4" s="84">
        <v>8.0000000000000002E-3</v>
      </c>
      <c r="CN4" s="84">
        <v>8.0000000000000002E-3</v>
      </c>
      <c r="CO4" s="84">
        <v>8.0000000000000002E-3</v>
      </c>
      <c r="CP4" s="84">
        <v>8.0000000000000002E-3</v>
      </c>
      <c r="CU4" s="102">
        <v>0</v>
      </c>
      <c r="CV4" s="102">
        <v>0</v>
      </c>
      <c r="CW4" s="102">
        <v>0</v>
      </c>
      <c r="CX4" s="102">
        <v>0</v>
      </c>
      <c r="CY4" s="102">
        <v>6.0771000000002573E-2</v>
      </c>
      <c r="CZ4" s="102">
        <v>0.14854500000000037</v>
      </c>
      <c r="DA4" s="102">
        <v>6.4219000000001358E-2</v>
      </c>
      <c r="DB4" s="102">
        <v>6.5943000000002527E-2</v>
      </c>
      <c r="DC4" s="102">
        <v>0.14176236500000527</v>
      </c>
      <c r="DD4" s="102">
        <v>0.14537414500000345</v>
      </c>
      <c r="DE4" s="102">
        <v>0.14898592500000518</v>
      </c>
      <c r="DF4" s="102">
        <v>0.15259770500000336</v>
      </c>
      <c r="DG4" s="102">
        <v>0.24544461932500994</v>
      </c>
      <c r="DH4" s="102">
        <v>0.25111963942500992</v>
      </c>
      <c r="DI4" s="102">
        <v>0.25679465952500991</v>
      </c>
      <c r="DJ4" s="102">
        <v>0.26246967962500989</v>
      </c>
      <c r="DK4" s="102">
        <v>0.37451018608763675</v>
      </c>
      <c r="DL4" s="102">
        <v>0.38243632759213497</v>
      </c>
      <c r="DM4" s="102">
        <v>0.3903624690966403</v>
      </c>
      <c r="DN4" s="102">
        <v>0.39828861060113852</v>
      </c>
      <c r="DO4" s="102">
        <v>-0.49777540247248808</v>
      </c>
      <c r="DP4" s="102">
        <v>-0.45557095327743369</v>
      </c>
      <c r="DQ4" s="102">
        <v>-0.41328209518398751</v>
      </c>
      <c r="DR4" s="102">
        <v>-0.37090865937435424</v>
      </c>
      <c r="DS4" s="102">
        <v>-0.28599229401185156</v>
      </c>
      <c r="DT4" s="102">
        <v>-0.20073626318789906</v>
      </c>
      <c r="DU4" s="102">
        <v>-0.11513920824064883</v>
      </c>
      <c r="DV4" s="102">
        <v>-2.9199765073609996E-2</v>
      </c>
      <c r="DW4" s="102">
        <v>0.10022503633594937</v>
      </c>
      <c r="DX4" s="102">
        <v>0.2304263865539653</v>
      </c>
      <c r="DY4" s="102">
        <v>0.36140894487328978</v>
      </c>
      <c r="DZ4" s="102">
        <v>0.49317739854252807</v>
      </c>
      <c r="EA4" s="102">
        <v>0.65666691129174026</v>
      </c>
      <c r="EB4" s="102">
        <v>0.82136624643529643</v>
      </c>
      <c r="EC4" s="102">
        <v>0.98728435665891467</v>
      </c>
      <c r="ED4" s="102">
        <v>1.154430260898188</v>
      </c>
      <c r="EE4" s="102">
        <v>1.3387411460114649</v>
      </c>
      <c r="EF4" s="102">
        <v>1.5245449492941567</v>
      </c>
      <c r="EG4" s="102">
        <v>1.6424801285355599</v>
      </c>
      <c r="EH4" s="102">
        <v>1.7610167771910952</v>
      </c>
    </row>
    <row r="5" spans="1:138">
      <c r="A5" s="108"/>
      <c r="B5" s="47" t="s">
        <v>16</v>
      </c>
      <c r="C5" s="89">
        <v>0.2</v>
      </c>
      <c r="D5" s="89">
        <v>0.20500000000000004</v>
      </c>
      <c r="E5" s="89">
        <v>0.21000000000000005</v>
      </c>
      <c r="F5" s="89">
        <v>0.21500000000000002</v>
      </c>
      <c r="G5" s="89">
        <v>0.22655924570785257</v>
      </c>
      <c r="H5" s="89">
        <v>0.23293819673319438</v>
      </c>
      <c r="I5" s="89">
        <v>0.23686715451730941</v>
      </c>
      <c r="J5" s="89">
        <v>0.24202110892203788</v>
      </c>
      <c r="K5" s="89">
        <v>0.24621970676874394</v>
      </c>
      <c r="L5" s="89">
        <v>0.24621970676874394</v>
      </c>
      <c r="M5" s="89">
        <v>0.24621970676874394</v>
      </c>
      <c r="N5" s="89">
        <v>0.24621970676874394</v>
      </c>
      <c r="O5" s="89">
        <v>0.24621970676874394</v>
      </c>
      <c r="P5" s="89">
        <v>0.24621970676874394</v>
      </c>
      <c r="Q5" s="89">
        <v>0.24621970676874394</v>
      </c>
      <c r="R5" s="89">
        <v>0.24621970676874394</v>
      </c>
      <c r="S5" s="89">
        <v>0.24621970676874394</v>
      </c>
      <c r="T5" s="89">
        <v>0.24621970676874394</v>
      </c>
      <c r="U5" s="89">
        <v>0.24621970676874394</v>
      </c>
      <c r="V5" s="89">
        <v>0.24621970676874394</v>
      </c>
      <c r="W5" s="89">
        <v>0.24621970676874394</v>
      </c>
      <c r="X5" s="89">
        <v>0.24621970676874394</v>
      </c>
      <c r="Y5" s="89">
        <v>0.24621970676874394</v>
      </c>
      <c r="Z5" s="89">
        <v>0.24621970676874394</v>
      </c>
      <c r="AA5" s="89">
        <v>0.24621970676874394</v>
      </c>
      <c r="AB5" s="89">
        <v>0.24621970676874394</v>
      </c>
      <c r="AC5" s="89">
        <v>0.24621970676874394</v>
      </c>
      <c r="AD5" s="89">
        <v>0.24621970676874394</v>
      </c>
      <c r="AE5" s="89">
        <v>0.24621970676874394</v>
      </c>
      <c r="AF5" s="89">
        <v>0.24621970676874394</v>
      </c>
      <c r="AG5" s="89">
        <v>0.24621970676874394</v>
      </c>
      <c r="AH5" s="89">
        <v>0.24621970676874394</v>
      </c>
      <c r="AI5" s="89">
        <v>0.24621970676874394</v>
      </c>
      <c r="AJ5" s="89">
        <v>0.24621970676874394</v>
      </c>
      <c r="AK5" s="89">
        <v>0.24621970676874394</v>
      </c>
      <c r="AL5" s="89">
        <v>0.24621970676874394</v>
      </c>
      <c r="AM5" s="89">
        <v>0.24621970676874394</v>
      </c>
      <c r="AN5" s="89">
        <v>0.24621970676874394</v>
      </c>
      <c r="AO5" s="89">
        <v>0.24621970676874394</v>
      </c>
      <c r="AP5" s="89">
        <v>0.24621970676874394</v>
      </c>
      <c r="AQ5" s="20"/>
      <c r="AR5" s="20"/>
      <c r="AS5" s="20"/>
      <c r="AT5" s="20"/>
      <c r="AW5" s="108"/>
      <c r="AX5" s="47" t="s">
        <v>17</v>
      </c>
      <c r="AY5" s="84">
        <v>3.0000000000000001E-3</v>
      </c>
      <c r="AZ5" s="84">
        <v>2E-3</v>
      </c>
      <c r="BA5" s="84">
        <v>2E-3</v>
      </c>
      <c r="BB5" s="84">
        <v>2E-3</v>
      </c>
      <c r="BC5" s="84">
        <v>8.0000000000000002E-3</v>
      </c>
      <c r="BD5" s="84">
        <v>8.0000000000000002E-3</v>
      </c>
      <c r="BE5" s="84">
        <v>8.0000000000000002E-3</v>
      </c>
      <c r="BF5" s="84">
        <v>8.0000000000000002E-3</v>
      </c>
      <c r="BG5" s="84">
        <v>8.0000000000000002E-3</v>
      </c>
      <c r="BH5" s="84">
        <v>8.0000000000000002E-3</v>
      </c>
      <c r="BI5" s="84">
        <v>8.0000000000000002E-3</v>
      </c>
      <c r="BJ5" s="84">
        <v>8.0000000000000002E-3</v>
      </c>
      <c r="BK5" s="84">
        <v>8.0000000000000002E-3</v>
      </c>
      <c r="BL5" s="84">
        <v>8.0000000000000002E-3</v>
      </c>
      <c r="BM5" s="84">
        <v>8.0000000000000002E-3</v>
      </c>
      <c r="BN5" s="84">
        <v>8.0000000000000002E-3</v>
      </c>
      <c r="BO5" s="84">
        <v>8.0000000000000002E-3</v>
      </c>
      <c r="BP5" s="84">
        <v>8.0000000000000002E-3</v>
      </c>
      <c r="BQ5" s="84">
        <v>8.0000000000000002E-3</v>
      </c>
      <c r="BR5" s="84">
        <v>8.0000000000000002E-3</v>
      </c>
      <c r="BS5" s="84">
        <v>8.0000000000000002E-3</v>
      </c>
      <c r="BT5" s="84">
        <v>8.0000000000000002E-3</v>
      </c>
      <c r="BU5" s="84">
        <v>8.0000000000000002E-3</v>
      </c>
      <c r="BV5" s="84">
        <v>8.0000000000000002E-3</v>
      </c>
      <c r="BW5" s="84">
        <v>8.0000000000000002E-3</v>
      </c>
      <c r="BX5" s="84">
        <v>8.0000000000000002E-3</v>
      </c>
      <c r="BY5" s="84">
        <v>8.0000000000000002E-3</v>
      </c>
      <c r="BZ5" s="84">
        <v>8.0000000000000002E-3</v>
      </c>
      <c r="CA5" s="84">
        <v>8.0000000000000002E-3</v>
      </c>
      <c r="CB5" s="84">
        <v>8.0000000000000002E-3</v>
      </c>
      <c r="CC5" s="84">
        <v>8.0000000000000002E-3</v>
      </c>
      <c r="CD5" s="84">
        <v>8.0000000000000002E-3</v>
      </c>
      <c r="CE5" s="84">
        <v>8.0000000000000002E-3</v>
      </c>
      <c r="CF5" s="84">
        <v>8.0000000000000002E-3</v>
      </c>
      <c r="CG5" s="84">
        <v>8.0000000000000002E-3</v>
      </c>
      <c r="CH5" s="84">
        <v>8.0000000000000002E-3</v>
      </c>
      <c r="CI5" s="84">
        <v>8.0000000000000002E-3</v>
      </c>
      <c r="CJ5" s="84">
        <v>8.0000000000000002E-3</v>
      </c>
      <c r="CK5" s="84">
        <v>8.0000000000000002E-3</v>
      </c>
      <c r="CL5" s="84">
        <v>8.0000000000000002E-3</v>
      </c>
      <c r="CM5" s="84">
        <v>8.0000000000000002E-3</v>
      </c>
      <c r="CN5" s="84">
        <v>8.0000000000000002E-3</v>
      </c>
      <c r="CO5" s="84">
        <v>8.0000000000000002E-3</v>
      </c>
      <c r="CP5" s="84">
        <v>8.0000000000000002E-3</v>
      </c>
      <c r="CU5" s="102">
        <v>0</v>
      </c>
      <c r="CV5" s="102">
        <v>0</v>
      </c>
      <c r="CW5" s="102">
        <v>0</v>
      </c>
      <c r="CX5" s="102">
        <v>0</v>
      </c>
      <c r="CY5" s="102">
        <v>6.796200000000141E-2</v>
      </c>
      <c r="CZ5" s="102">
        <v>6.9890000000000896E-2</v>
      </c>
      <c r="DA5" s="102">
        <v>7.1818000000002158E-2</v>
      </c>
      <c r="DB5" s="102">
        <v>7.3746000000001644E-2</v>
      </c>
      <c r="DC5" s="102">
        <v>0.15853703000000507</v>
      </c>
      <c r="DD5" s="102">
        <v>0.1625761900000029</v>
      </c>
      <c r="DE5" s="102">
        <v>0.16661535000000427</v>
      </c>
      <c r="DF5" s="102">
        <v>0.17065451000000209</v>
      </c>
      <c r="DG5" s="102">
        <v>0.27448795015000726</v>
      </c>
      <c r="DH5" s="102">
        <v>0.28083449235000657</v>
      </c>
      <c r="DI5" s="102">
        <v>0.28718103455000588</v>
      </c>
      <c r="DJ5" s="102">
        <v>0.29352757675000518</v>
      </c>
      <c r="DK5" s="102">
        <v>0</v>
      </c>
      <c r="DL5" s="102">
        <v>0</v>
      </c>
      <c r="DM5" s="102">
        <v>0</v>
      </c>
      <c r="DN5" s="102">
        <v>0</v>
      </c>
      <c r="DO5" s="102">
        <v>4.3199999999998795E-2</v>
      </c>
      <c r="DP5" s="102">
        <v>8.6486399999998298E-2</v>
      </c>
      <c r="DQ5" s="102">
        <v>0.1298593727999986</v>
      </c>
      <c r="DR5" s="102">
        <v>0.1733190915455971</v>
      </c>
      <c r="DS5" s="102">
        <v>0.2604123679117798</v>
      </c>
      <c r="DT5" s="102">
        <v>0.34785401738342614</v>
      </c>
      <c r="DU5" s="102">
        <v>0.43564543345296158</v>
      </c>
      <c r="DV5" s="102">
        <v>0.5237880151867742</v>
      </c>
      <c r="DW5" s="102">
        <v>0.6565307432778944</v>
      </c>
      <c r="DX5" s="102">
        <v>0.79006992773756224</v>
      </c>
      <c r="DY5" s="102">
        <v>0.92441034730398641</v>
      </c>
      <c r="DZ5" s="102">
        <v>1.0595568093878107</v>
      </c>
      <c r="EA5" s="102">
        <v>1.2272375297772768</v>
      </c>
      <c r="EB5" s="102">
        <v>1.396159087497626</v>
      </c>
      <c r="EC5" s="102">
        <v>1.5663306647451058</v>
      </c>
      <c r="ED5" s="102">
        <v>1.7377615116642176</v>
      </c>
      <c r="EE5" s="102">
        <v>1.9267973799086988</v>
      </c>
      <c r="EF5" s="102">
        <v>2.1173644386859607</v>
      </c>
      <c r="EG5" s="102">
        <v>2.2383229973232623</v>
      </c>
      <c r="EH5" s="102">
        <v>2.3598984446096125</v>
      </c>
    </row>
    <row r="6" spans="1:138">
      <c r="A6" s="108"/>
      <c r="B6" s="47" t="s">
        <v>18</v>
      </c>
      <c r="C6" s="89">
        <v>0.2</v>
      </c>
      <c r="D6" s="89">
        <v>0.20500000000000002</v>
      </c>
      <c r="E6" s="89">
        <v>0.21000000000000005</v>
      </c>
      <c r="F6" s="89">
        <v>0.21500000000000002</v>
      </c>
      <c r="G6" s="89">
        <v>0.22655924570785257</v>
      </c>
      <c r="H6" s="89">
        <v>0.23293819673319438</v>
      </c>
      <c r="I6" s="89">
        <v>0.23686715451730939</v>
      </c>
      <c r="J6" s="89">
        <v>0.24202110892203788</v>
      </c>
      <c r="K6" s="89">
        <v>0.25456549498808173</v>
      </c>
      <c r="L6" s="89">
        <v>0.25987814418928568</v>
      </c>
      <c r="M6" s="89">
        <v>0.26519079339048945</v>
      </c>
      <c r="N6" s="89">
        <v>0.27050344259169334</v>
      </c>
      <c r="O6" s="89">
        <v>0.28408270390681761</v>
      </c>
      <c r="P6" s="89">
        <v>0.28955893425708196</v>
      </c>
      <c r="Q6" s="89">
        <v>0.29503516460734619</v>
      </c>
      <c r="R6" s="89">
        <v>0.30051139495761042</v>
      </c>
      <c r="S6" s="89">
        <v>0.31517739589080301</v>
      </c>
      <c r="T6" s="89">
        <v>0.3208222441978133</v>
      </c>
      <c r="U6" s="89">
        <v>0.32646709250482381</v>
      </c>
      <c r="V6" s="89">
        <v>0.33211194081183409</v>
      </c>
      <c r="W6" s="89">
        <v>0.33211194081183409</v>
      </c>
      <c r="X6" s="89">
        <v>0.33211194081183409</v>
      </c>
      <c r="Y6" s="89">
        <v>0.33211194081183409</v>
      </c>
      <c r="Z6" s="89">
        <v>0.33211194081183409</v>
      </c>
      <c r="AA6" s="89">
        <v>0.33211194081183409</v>
      </c>
      <c r="AB6" s="89">
        <v>0.33211194081183409</v>
      </c>
      <c r="AC6" s="89">
        <v>0.33211194081183409</v>
      </c>
      <c r="AD6" s="89">
        <v>0.33211194081183409</v>
      </c>
      <c r="AE6" s="89">
        <v>0.33211194081183409</v>
      </c>
      <c r="AF6" s="89">
        <v>0.33211194081183409</v>
      </c>
      <c r="AG6" s="89">
        <v>0.33211194081183409</v>
      </c>
      <c r="AH6" s="89">
        <v>0.33211194081183409</v>
      </c>
      <c r="AI6" s="89">
        <v>0.33211194081183409</v>
      </c>
      <c r="AJ6" s="89">
        <v>0.33211194081183409</v>
      </c>
      <c r="AK6" s="89">
        <v>0.33211194081183409</v>
      </c>
      <c r="AL6" s="89">
        <v>0.33211194081183409</v>
      </c>
      <c r="AM6" s="89">
        <v>0.33211194081183409</v>
      </c>
      <c r="AN6" s="89">
        <v>0.33211194081183409</v>
      </c>
      <c r="AO6" s="89">
        <v>0.33211194081183409</v>
      </c>
      <c r="AP6" s="89">
        <v>0.33211194081183409</v>
      </c>
      <c r="AQ6" s="20"/>
      <c r="AR6" s="20"/>
      <c r="AS6" s="20"/>
      <c r="AT6" s="20"/>
      <c r="AW6" s="108"/>
      <c r="AX6" s="47" t="s">
        <v>14</v>
      </c>
      <c r="AY6" s="84">
        <v>3.0000000000000001E-3</v>
      </c>
      <c r="AZ6" s="84">
        <v>2E-3</v>
      </c>
      <c r="BA6" s="84">
        <v>2E-3</v>
      </c>
      <c r="BB6" s="84">
        <v>2E-3</v>
      </c>
      <c r="BC6" s="84">
        <v>8.0000000000000002E-3</v>
      </c>
      <c r="BD6" s="84">
        <v>8.0000000000000002E-3</v>
      </c>
      <c r="BE6" s="84">
        <v>8.0000000000000002E-3</v>
      </c>
      <c r="BF6" s="84">
        <v>8.0000000000000002E-3</v>
      </c>
      <c r="BG6" s="84">
        <v>8.0000000000000002E-3</v>
      </c>
      <c r="BH6" s="84">
        <v>8.0000000000000002E-3</v>
      </c>
      <c r="BI6" s="84">
        <v>8.0000000000000002E-3</v>
      </c>
      <c r="BJ6" s="84">
        <v>8.0000000000000002E-3</v>
      </c>
      <c r="BK6" s="84">
        <v>8.0000000000000002E-3</v>
      </c>
      <c r="BL6" s="84">
        <v>8.0000000000000002E-3</v>
      </c>
      <c r="BM6" s="84">
        <v>8.0000000000000002E-3</v>
      </c>
      <c r="BN6" s="84">
        <v>8.0000000000000002E-3</v>
      </c>
      <c r="BO6" s="84">
        <v>8.0000000000000002E-3</v>
      </c>
      <c r="BP6" s="84">
        <v>8.0000000000000002E-3</v>
      </c>
      <c r="BQ6" s="84">
        <v>8.0000000000000002E-3</v>
      </c>
      <c r="BR6" s="84">
        <v>8.0000000000000002E-3</v>
      </c>
      <c r="BS6" s="84">
        <v>8.0000000000000002E-3</v>
      </c>
      <c r="BT6" s="84">
        <v>8.0000000000000002E-3</v>
      </c>
      <c r="BU6" s="84">
        <v>8.0000000000000002E-3</v>
      </c>
      <c r="BV6" s="84">
        <v>8.0000000000000002E-3</v>
      </c>
      <c r="BW6" s="84">
        <v>8.0000000000000002E-3</v>
      </c>
      <c r="BX6" s="84">
        <v>8.0000000000000002E-3</v>
      </c>
      <c r="BY6" s="84">
        <v>8.0000000000000002E-3</v>
      </c>
      <c r="BZ6" s="84">
        <v>8.0000000000000002E-3</v>
      </c>
      <c r="CA6" s="84">
        <v>8.0000000000000002E-3</v>
      </c>
      <c r="CB6" s="84">
        <v>8.0000000000000002E-3</v>
      </c>
      <c r="CC6" s="84">
        <v>8.0000000000000002E-3</v>
      </c>
      <c r="CD6" s="84">
        <v>8.0000000000000002E-3</v>
      </c>
      <c r="CE6" s="84">
        <v>8.0000000000000002E-3</v>
      </c>
      <c r="CF6" s="84">
        <v>8.0000000000000002E-3</v>
      </c>
      <c r="CG6" s="84">
        <v>8.0000000000000002E-3</v>
      </c>
      <c r="CH6" s="84">
        <v>8.0000000000000002E-3</v>
      </c>
      <c r="CI6" s="84">
        <v>8.0000000000000002E-3</v>
      </c>
      <c r="CJ6" s="84">
        <v>8.0000000000000002E-3</v>
      </c>
      <c r="CK6" s="84">
        <v>8.0000000000000002E-3</v>
      </c>
      <c r="CL6" s="84">
        <v>8.0000000000000002E-3</v>
      </c>
      <c r="CM6" s="84">
        <v>8.0000000000000002E-3</v>
      </c>
      <c r="CN6" s="84">
        <v>8.0000000000000002E-3</v>
      </c>
      <c r="CO6" s="84">
        <v>8.0000000000000002E-3</v>
      </c>
      <c r="CP6" s="84">
        <v>8.0000000000000002E-3</v>
      </c>
      <c r="CU6" s="102">
        <v>0</v>
      </c>
      <c r="CV6" s="102">
        <v>0</v>
      </c>
      <c r="CW6" s="102">
        <v>0</v>
      </c>
      <c r="CX6" s="102">
        <v>0</v>
      </c>
      <c r="CY6" s="102">
        <v>6.3732000000001676E-2</v>
      </c>
      <c r="CZ6" s="102">
        <v>6.5540000000002152E-2</v>
      </c>
      <c r="DA6" s="102">
        <v>6.7348000000002628E-2</v>
      </c>
      <c r="DB6" s="102">
        <v>6.9156000000003104E-2</v>
      </c>
      <c r="DC6" s="102">
        <v>0.14866958000000352</v>
      </c>
      <c r="DD6" s="102">
        <v>0.1524573400000051</v>
      </c>
      <c r="DE6" s="102">
        <v>0.15624510000000313</v>
      </c>
      <c r="DF6" s="102">
        <v>0.16003286000000472</v>
      </c>
      <c r="DG6" s="102">
        <v>0.25740363790000842</v>
      </c>
      <c r="DH6" s="102">
        <v>0.26335516710000917</v>
      </c>
      <c r="DI6" s="102">
        <v>0.26930669630000637</v>
      </c>
      <c r="DJ6" s="102">
        <v>0.27525822550000711</v>
      </c>
      <c r="DK6" s="102">
        <v>0.39275778216151025</v>
      </c>
      <c r="DL6" s="102">
        <v>0.4010701161755108</v>
      </c>
      <c r="DM6" s="102">
        <v>0.36267474518949783</v>
      </c>
      <c r="DN6" s="102">
        <v>0</v>
      </c>
      <c r="DO6" s="102">
        <v>4.3199999999998795E-2</v>
      </c>
      <c r="DP6" s="102">
        <v>8.6486399999998298E-2</v>
      </c>
      <c r="DQ6" s="102">
        <v>0.1298593727999986</v>
      </c>
      <c r="DR6" s="102">
        <v>0.1733190915455971</v>
      </c>
      <c r="DS6" s="102">
        <v>0.2604123679117798</v>
      </c>
      <c r="DT6" s="102">
        <v>0.34785401738342614</v>
      </c>
      <c r="DU6" s="102">
        <v>0.43564543345296158</v>
      </c>
      <c r="DV6" s="102">
        <v>0.5237880151867742</v>
      </c>
      <c r="DW6" s="102">
        <v>0.6565307432778944</v>
      </c>
      <c r="DX6" s="102">
        <v>0.79006992773756224</v>
      </c>
      <c r="DY6" s="102">
        <v>0.92441034730398641</v>
      </c>
      <c r="DZ6" s="102">
        <v>1.0595568093878107</v>
      </c>
      <c r="EA6" s="102">
        <v>1.2272375297772768</v>
      </c>
      <c r="EB6" s="102">
        <v>1.396159087497626</v>
      </c>
      <c r="EC6" s="102">
        <v>1.5663306647451058</v>
      </c>
      <c r="ED6" s="102">
        <v>1.7377615116642176</v>
      </c>
      <c r="EE6" s="102">
        <v>1.9267973799086988</v>
      </c>
      <c r="EF6" s="102">
        <v>2.1173644386859607</v>
      </c>
      <c r="EG6" s="102">
        <v>2.2383229973232623</v>
      </c>
      <c r="EH6" s="102">
        <v>2.3598984446096125</v>
      </c>
    </row>
    <row r="7" spans="1:138">
      <c r="A7" s="108"/>
      <c r="B7" s="47" t="s">
        <v>15</v>
      </c>
      <c r="C7" s="89">
        <v>0.15</v>
      </c>
      <c r="D7" s="89">
        <v>0.1525</v>
      </c>
      <c r="E7" s="89">
        <v>0.15509999999999999</v>
      </c>
      <c r="F7" s="89">
        <v>0.1573</v>
      </c>
      <c r="G7" s="89">
        <v>0.16120000000000001</v>
      </c>
      <c r="H7" s="89">
        <v>0.16270000000000001</v>
      </c>
      <c r="I7" s="89">
        <v>0.16270000000000001</v>
      </c>
      <c r="J7" s="89">
        <v>0.1636</v>
      </c>
      <c r="K7" s="89">
        <v>0.16550000000000001</v>
      </c>
      <c r="L7" s="89">
        <v>0.1671</v>
      </c>
      <c r="M7" s="89">
        <v>0.16769999999999999</v>
      </c>
      <c r="N7" s="89">
        <v>0.16889999999999999</v>
      </c>
      <c r="O7" s="89">
        <v>0.17100000000000001</v>
      </c>
      <c r="P7" s="89">
        <v>0.1736</v>
      </c>
      <c r="Q7" s="89">
        <v>0.1767</v>
      </c>
      <c r="R7" s="89">
        <v>0.18099999999999999</v>
      </c>
      <c r="S7" s="89">
        <v>0.18329999999999999</v>
      </c>
      <c r="T7" s="89">
        <f>S7+0.5%</f>
        <v>0.1883</v>
      </c>
      <c r="U7" s="89">
        <f t="shared" ref="U7:AA7" si="0">T7+0.5%</f>
        <v>0.1933</v>
      </c>
      <c r="V7" s="89">
        <f t="shared" si="0"/>
        <v>0.1983</v>
      </c>
      <c r="W7" s="89">
        <f t="shared" si="0"/>
        <v>0.20330000000000001</v>
      </c>
      <c r="X7" s="89">
        <f t="shared" si="0"/>
        <v>0.20830000000000001</v>
      </c>
      <c r="Y7" s="89">
        <f>X7+0.5%</f>
        <v>0.21330000000000002</v>
      </c>
      <c r="Z7" s="89">
        <f t="shared" si="0"/>
        <v>0.21830000000000002</v>
      </c>
      <c r="AA7" s="89">
        <f t="shared" si="0"/>
        <v>0.22330000000000003</v>
      </c>
      <c r="AB7" s="89">
        <f>AA7</f>
        <v>0.22330000000000003</v>
      </c>
      <c r="AC7" s="89">
        <f t="shared" ref="AC7:AI7" si="1">AB7</f>
        <v>0.22330000000000003</v>
      </c>
      <c r="AD7" s="89">
        <f t="shared" si="1"/>
        <v>0.22330000000000003</v>
      </c>
      <c r="AE7" s="89">
        <f t="shared" si="1"/>
        <v>0.22330000000000003</v>
      </c>
      <c r="AF7" s="89">
        <f t="shared" si="1"/>
        <v>0.22330000000000003</v>
      </c>
      <c r="AG7" s="89">
        <f t="shared" si="1"/>
        <v>0.22330000000000003</v>
      </c>
      <c r="AH7" s="89">
        <f t="shared" si="1"/>
        <v>0.22330000000000003</v>
      </c>
      <c r="AI7" s="89">
        <f t="shared" si="1"/>
        <v>0.22330000000000003</v>
      </c>
      <c r="AJ7" s="89">
        <v>0.2248</v>
      </c>
      <c r="AK7" s="89">
        <v>0.2248</v>
      </c>
      <c r="AL7" s="89">
        <v>0.2248</v>
      </c>
      <c r="AM7" s="89">
        <v>0.2248</v>
      </c>
      <c r="AN7" s="89">
        <v>0.24551010337318785</v>
      </c>
      <c r="AO7" s="89">
        <v>0.24551010337318785</v>
      </c>
      <c r="AP7" s="89">
        <v>0.24551010337318785</v>
      </c>
      <c r="AQ7" s="20"/>
      <c r="AR7" s="20"/>
      <c r="AS7" s="20"/>
      <c r="AT7" s="20"/>
      <c r="AW7" s="108"/>
      <c r="AX7" s="47" t="s">
        <v>16</v>
      </c>
      <c r="AY7" s="84">
        <v>3.0000000000000001E-3</v>
      </c>
      <c r="AZ7" s="84">
        <v>2E-3</v>
      </c>
      <c r="BA7" s="84">
        <v>2E-3</v>
      </c>
      <c r="BB7" s="84">
        <v>2E-3</v>
      </c>
      <c r="BC7" s="84">
        <v>8.0000000000000002E-3</v>
      </c>
      <c r="BD7" s="84">
        <v>8.0000000000000002E-3</v>
      </c>
      <c r="BE7" s="84">
        <v>8.0000000000000002E-3</v>
      </c>
      <c r="BF7" s="84">
        <v>8.0000000000000002E-3</v>
      </c>
      <c r="BG7" s="84">
        <v>8.0000000000000002E-3</v>
      </c>
      <c r="BH7" s="84">
        <v>8.0000000000000002E-3</v>
      </c>
      <c r="BI7" s="84">
        <v>8.0000000000000002E-3</v>
      </c>
      <c r="BJ7" s="84">
        <v>8.0000000000000002E-3</v>
      </c>
      <c r="BK7" s="84">
        <v>8.0000000000000002E-3</v>
      </c>
      <c r="BL7" s="84">
        <v>8.0000000000000002E-3</v>
      </c>
      <c r="BM7" s="84">
        <v>8.0000000000000002E-3</v>
      </c>
      <c r="BN7" s="84">
        <v>8.0000000000000002E-3</v>
      </c>
      <c r="BO7" s="84">
        <v>8.0000000000000002E-3</v>
      </c>
      <c r="BP7" s="84">
        <v>8.0000000000000002E-3</v>
      </c>
      <c r="BQ7" s="84">
        <v>8.0000000000000002E-3</v>
      </c>
      <c r="BR7" s="84">
        <v>8.0000000000000002E-3</v>
      </c>
      <c r="BS7" s="84">
        <v>8.0000000000000002E-3</v>
      </c>
      <c r="BT7" s="84">
        <v>8.0000000000000002E-3</v>
      </c>
      <c r="BU7" s="84">
        <v>8.0000000000000002E-3</v>
      </c>
      <c r="BV7" s="84">
        <v>8.0000000000000002E-3</v>
      </c>
      <c r="BW7" s="84">
        <v>8.0000000000000002E-3</v>
      </c>
      <c r="BX7" s="84">
        <v>8.0000000000000002E-3</v>
      </c>
      <c r="BY7" s="84">
        <v>8.0000000000000002E-3</v>
      </c>
      <c r="BZ7" s="84">
        <v>8.0000000000000002E-3</v>
      </c>
      <c r="CA7" s="84">
        <v>8.0000000000000002E-3</v>
      </c>
      <c r="CB7" s="84">
        <v>8.0000000000000002E-3</v>
      </c>
      <c r="CC7" s="84">
        <v>8.0000000000000002E-3</v>
      </c>
      <c r="CD7" s="84">
        <v>8.0000000000000002E-3</v>
      </c>
      <c r="CE7" s="84">
        <v>8.0000000000000002E-3</v>
      </c>
      <c r="CF7" s="84">
        <v>8.0000000000000002E-3</v>
      </c>
      <c r="CG7" s="84">
        <v>8.0000000000000002E-3</v>
      </c>
      <c r="CH7" s="84">
        <v>8.0000000000000002E-3</v>
      </c>
      <c r="CI7" s="84">
        <v>8.0000000000000002E-3</v>
      </c>
      <c r="CJ7" s="84">
        <v>8.0000000000000002E-3</v>
      </c>
      <c r="CK7" s="84">
        <v>8.0000000000000002E-3</v>
      </c>
      <c r="CL7" s="84">
        <v>8.0000000000000002E-3</v>
      </c>
      <c r="CM7" s="84">
        <v>8.0000000000000002E-3</v>
      </c>
      <c r="CN7" s="84">
        <v>8.0000000000000002E-3</v>
      </c>
      <c r="CO7" s="84">
        <v>8.0000000000000002E-3</v>
      </c>
      <c r="CP7" s="84">
        <v>8.0000000000000002E-3</v>
      </c>
      <c r="CU7" s="102">
        <v>0</v>
      </c>
      <c r="CV7" s="102">
        <v>0</v>
      </c>
      <c r="CW7" s="102">
        <v>0</v>
      </c>
      <c r="CX7" s="102">
        <v>0</v>
      </c>
      <c r="CY7" s="102">
        <v>4.1041000000001659E-2</v>
      </c>
      <c r="CZ7" s="102">
        <v>4.2845000000001576E-2</v>
      </c>
      <c r="DA7" s="102">
        <v>4.4649000000001493E-2</v>
      </c>
      <c r="DB7" s="102">
        <v>4.645300000000141E-2</v>
      </c>
      <c r="DC7" s="102">
        <v>0.10109841500000272</v>
      </c>
      <c r="DD7" s="102">
        <v>0.10487779500000016</v>
      </c>
      <c r="DE7" s="102">
        <v>0.10865717500000116</v>
      </c>
      <c r="DF7" s="102">
        <v>0.11243655500000216</v>
      </c>
      <c r="DG7" s="102">
        <v>0.18260463457500364</v>
      </c>
      <c r="DH7" s="102">
        <v>0.18854299667500385</v>
      </c>
      <c r="DI7" s="102">
        <v>0.19448135877500405</v>
      </c>
      <c r="DJ7" s="102">
        <v>0.20041972087500426</v>
      </c>
      <c r="DK7" s="102">
        <v>0.28821455033387977</v>
      </c>
      <c r="DL7" s="102">
        <v>0.29650849422838021</v>
      </c>
      <c r="DM7" s="102">
        <v>0.30480243812287888</v>
      </c>
      <c r="DN7" s="102">
        <v>-0.12545827298261969</v>
      </c>
      <c r="DO7" s="102">
        <v>-1.2737523319358353</v>
      </c>
      <c r="DP7" s="102">
        <v>-1.6910765403642998</v>
      </c>
      <c r="DQ7" s="102">
        <v>-2.1083361523234103</v>
      </c>
      <c r="DR7" s="102">
        <v>-2.5255310386202261</v>
      </c>
      <c r="DS7" s="102">
        <v>-3.7751298328050957</v>
      </c>
      <c r="DT7" s="102">
        <v>-4.1797405227106097</v>
      </c>
      <c r="DU7" s="102">
        <v>-4.5840902335635612</v>
      </c>
      <c r="DV7" s="102">
        <v>-4.9881779214477504</v>
      </c>
      <c r="DW7" s="102">
        <v>-4.9932446903075842</v>
      </c>
      <c r="DX7" s="102">
        <v>-4.8936041584494312</v>
      </c>
      <c r="DY7" s="102">
        <v>-4.7933657834001266</v>
      </c>
      <c r="DZ7" s="102">
        <v>-4.6925259781005266</v>
      </c>
      <c r="EA7" s="102">
        <v>-4.5674106703384716</v>
      </c>
      <c r="EB7" s="102">
        <v>-4.4413695092989798</v>
      </c>
      <c r="EC7" s="102">
        <v>-4.3143956436677939</v>
      </c>
      <c r="ED7" s="102">
        <v>-4.1864821714309386</v>
      </c>
      <c r="EE7" s="102">
        <v>-4.0454326770195301</v>
      </c>
      <c r="EF7" s="102">
        <v>-3.9032406817033873</v>
      </c>
      <c r="EG7" s="102">
        <v>-3.8129872091800721</v>
      </c>
      <c r="EH7" s="102">
        <v>-3.7222734439468894</v>
      </c>
    </row>
    <row r="8" spans="1:138">
      <c r="A8" s="109"/>
      <c r="B8" s="47" t="s">
        <v>17</v>
      </c>
      <c r="C8" s="89">
        <v>0.15</v>
      </c>
      <c r="D8" s="89">
        <v>0.15</v>
      </c>
      <c r="E8" s="89">
        <v>0.15</v>
      </c>
      <c r="F8" s="89">
        <v>0.15</v>
      </c>
      <c r="G8" s="89">
        <v>0.15594393470306797</v>
      </c>
      <c r="H8" s="89">
        <v>0.16206772768739588</v>
      </c>
      <c r="I8" s="89">
        <v>0.16583952716014624</v>
      </c>
      <c r="J8" s="89">
        <v>0.17078732338868566</v>
      </c>
      <c r="K8" s="89">
        <v>0.18123679906399123</v>
      </c>
      <c r="L8" s="89">
        <v>0.18633694229714645</v>
      </c>
      <c r="M8" s="89">
        <v>0.19143708553030239</v>
      </c>
      <c r="N8" s="89">
        <v>0.19653722876345822</v>
      </c>
      <c r="O8" s="89">
        <v>0.2079389505968712</v>
      </c>
      <c r="P8" s="89">
        <v>0.21319613173312457</v>
      </c>
      <c r="Q8" s="89">
        <v>0.21845331286937858</v>
      </c>
      <c r="R8" s="89">
        <v>0.22371049400563195</v>
      </c>
      <c r="S8" s="89">
        <v>0.23611318455634275</v>
      </c>
      <c r="T8" s="89">
        <v>0.24153223893107295</v>
      </c>
      <c r="U8" s="89">
        <v>0.2469512933058032</v>
      </c>
      <c r="V8" s="89">
        <v>0.25237034768053279</v>
      </c>
      <c r="W8" s="89">
        <v>0.25903864045512298</v>
      </c>
      <c r="X8" s="89">
        <v>0.25917499481915823</v>
      </c>
      <c r="Y8" s="89">
        <v>0.25931134918319348</v>
      </c>
      <c r="Z8" s="89">
        <v>0.25944770354722868</v>
      </c>
      <c r="AA8" s="89">
        <v>0.26630270411602602</v>
      </c>
      <c r="AB8" s="89">
        <v>0.26644258765183626</v>
      </c>
      <c r="AC8" s="89">
        <v>0.2665824711876465</v>
      </c>
      <c r="AD8" s="89">
        <v>0.26672235472345679</v>
      </c>
      <c r="AE8" s="89">
        <v>0.27376926089656572</v>
      </c>
      <c r="AF8" s="89">
        <v>0.27391276494742051</v>
      </c>
      <c r="AG8" s="89">
        <v>0.27405626899827523</v>
      </c>
      <c r="AH8" s="89">
        <v>0.27419977304913001</v>
      </c>
      <c r="AI8" s="89">
        <v>0.28144392662492557</v>
      </c>
      <c r="AJ8" s="89">
        <v>0.28159114489827303</v>
      </c>
      <c r="AK8" s="89">
        <v>0.28173836317162049</v>
      </c>
      <c r="AL8" s="89">
        <v>0.28188558144496795</v>
      </c>
      <c r="AM8" s="89">
        <v>0.28933247218161301</v>
      </c>
      <c r="AN8" s="89">
        <v>0.28933247218161301</v>
      </c>
      <c r="AO8" s="89">
        <v>0.28933247218161301</v>
      </c>
      <c r="AP8" s="89">
        <v>0.28933247218161301</v>
      </c>
      <c r="AQ8" s="20"/>
      <c r="AR8" s="20"/>
      <c r="AS8" s="20"/>
      <c r="AT8" s="20"/>
      <c r="AW8" s="109"/>
      <c r="AX8" s="47" t="s">
        <v>18</v>
      </c>
      <c r="AY8" s="84">
        <v>3.0000000000000001E-3</v>
      </c>
      <c r="AZ8" s="84">
        <v>2E-3</v>
      </c>
      <c r="BA8" s="84">
        <v>2E-3</v>
      </c>
      <c r="BB8" s="84">
        <v>2E-3</v>
      </c>
      <c r="BC8" s="84">
        <v>8.0000000000000002E-3</v>
      </c>
      <c r="BD8" s="84">
        <v>8.0000000000000002E-3</v>
      </c>
      <c r="BE8" s="84">
        <v>8.0000000000000002E-3</v>
      </c>
      <c r="BF8" s="84">
        <v>8.0000000000000002E-3</v>
      </c>
      <c r="BG8" s="84">
        <v>8.0000000000000002E-3</v>
      </c>
      <c r="BH8" s="84">
        <v>8.0000000000000002E-3</v>
      </c>
      <c r="BI8" s="84">
        <v>8.0000000000000002E-3</v>
      </c>
      <c r="BJ8" s="84">
        <v>8.0000000000000002E-3</v>
      </c>
      <c r="BK8" s="84">
        <v>8.0000000000000002E-3</v>
      </c>
      <c r="BL8" s="84">
        <v>8.0000000000000002E-3</v>
      </c>
      <c r="BM8" s="84">
        <v>8.0000000000000002E-3</v>
      </c>
      <c r="BN8" s="84">
        <v>8.0000000000000002E-3</v>
      </c>
      <c r="BO8" s="84">
        <v>8.0000000000000002E-3</v>
      </c>
      <c r="BP8" s="84">
        <v>8.0000000000000002E-3</v>
      </c>
      <c r="BQ8" s="84">
        <v>8.0000000000000002E-3</v>
      </c>
      <c r="BR8" s="84">
        <v>8.0000000000000002E-3</v>
      </c>
      <c r="BS8" s="84">
        <v>8.0000000000000002E-3</v>
      </c>
      <c r="BT8" s="84">
        <v>8.0000000000000002E-3</v>
      </c>
      <c r="BU8" s="84">
        <v>8.0000000000000002E-3</v>
      </c>
      <c r="BV8" s="84">
        <v>8.0000000000000002E-3</v>
      </c>
      <c r="BW8" s="84">
        <v>8.0000000000000002E-3</v>
      </c>
      <c r="BX8" s="84">
        <v>8.0000000000000002E-3</v>
      </c>
      <c r="BY8" s="84">
        <v>8.0000000000000002E-3</v>
      </c>
      <c r="BZ8" s="84">
        <v>8.0000000000000002E-3</v>
      </c>
      <c r="CA8" s="84">
        <v>8.0000000000000002E-3</v>
      </c>
      <c r="CB8" s="84">
        <v>8.0000000000000002E-3</v>
      </c>
      <c r="CC8" s="84">
        <v>8.0000000000000002E-3</v>
      </c>
      <c r="CD8" s="84">
        <v>8.0000000000000002E-3</v>
      </c>
      <c r="CE8" s="84">
        <v>8.0000000000000002E-3</v>
      </c>
      <c r="CF8" s="84">
        <v>8.0000000000000002E-3</v>
      </c>
      <c r="CG8" s="84">
        <v>8.0000000000000002E-3</v>
      </c>
      <c r="CH8" s="84">
        <v>8.0000000000000002E-3</v>
      </c>
      <c r="CI8" s="84">
        <v>8.0000000000000002E-3</v>
      </c>
      <c r="CJ8" s="84">
        <v>8.0000000000000002E-3</v>
      </c>
      <c r="CK8" s="84">
        <v>8.0000000000000002E-3</v>
      </c>
      <c r="CL8" s="84">
        <v>8.0000000000000002E-3</v>
      </c>
      <c r="CM8" s="84">
        <v>8.0000000000000002E-3</v>
      </c>
      <c r="CN8" s="84">
        <v>8.0000000000000002E-3</v>
      </c>
      <c r="CO8" s="84">
        <v>8.0000000000000002E-3</v>
      </c>
      <c r="CP8" s="84">
        <v>8.0000000000000002E-3</v>
      </c>
      <c r="CU8" s="102">
        <v>0</v>
      </c>
      <c r="CV8" s="102">
        <v>0</v>
      </c>
      <c r="CW8" s="102">
        <v>0</v>
      </c>
      <c r="CX8" s="102">
        <v>0</v>
      </c>
      <c r="CY8" s="102">
        <v>3.8743999999999446E-2</v>
      </c>
      <c r="CZ8" s="102">
        <v>4.0080000000001448E-2</v>
      </c>
      <c r="DA8" s="102">
        <v>4.1415999999999897E-2</v>
      </c>
      <c r="DB8" s="102">
        <v>4.2752000000000123E-2</v>
      </c>
      <c r="DC8" s="102">
        <v>9.2364360000003032E-2</v>
      </c>
      <c r="DD8" s="102">
        <v>9.516328000000307E-2</v>
      </c>
      <c r="DE8" s="102">
        <v>9.7962200000001332E-2</v>
      </c>
      <c r="DF8" s="102">
        <v>0.10076112000000315</v>
      </c>
      <c r="DG8" s="102">
        <v>0.16271902180000275</v>
      </c>
      <c r="DH8" s="102">
        <v>0.16711683320000326</v>
      </c>
      <c r="DI8" s="102">
        <v>0.17151464460000376</v>
      </c>
      <c r="DJ8" s="102">
        <v>0.17591245600000249</v>
      </c>
      <c r="DK8" s="102">
        <v>0.25183429643300492</v>
      </c>
      <c r="DL8" s="102">
        <v>0.25797659634600478</v>
      </c>
      <c r="DM8" s="102">
        <v>0.26411889625900464</v>
      </c>
      <c r="DN8" s="102">
        <v>0.2702611961720045</v>
      </c>
      <c r="DO8" s="102">
        <v>-0.66504681058117043</v>
      </c>
      <c r="DP8" s="102">
        <v>-0.96938853470656561</v>
      </c>
      <c r="DQ8" s="102">
        <v>-1.2736729826527302</v>
      </c>
      <c r="DR8" s="102">
        <v>-1.5779000398673038</v>
      </c>
      <c r="DS8" s="102">
        <v>-2.5874798188281503</v>
      </c>
      <c r="DT8" s="102">
        <v>-2.8775927180123055</v>
      </c>
      <c r="DU8" s="102">
        <v>-3.1674742131717579</v>
      </c>
      <c r="DV8" s="102">
        <v>-3.4571233786904152</v>
      </c>
      <c r="DW8" s="102">
        <v>-4.5471592001315493</v>
      </c>
      <c r="DX8" s="102">
        <v>-4.8224325510428265</v>
      </c>
      <c r="DY8" s="102">
        <v>-5.0971758083729686</v>
      </c>
      <c r="DZ8" s="102">
        <v>-5.3713857915604883</v>
      </c>
      <c r="EA8" s="102">
        <v>-6.4976012315063532</v>
      </c>
      <c r="EB8" s="102">
        <v>-6.3858434806195028</v>
      </c>
      <c r="EC8" s="102">
        <v>-6.2732587223760898</v>
      </c>
      <c r="ED8" s="102">
        <v>-6.1598408369216759</v>
      </c>
      <c r="EE8" s="102">
        <v>-6.0347755477007414</v>
      </c>
      <c r="EF8" s="102">
        <v>-5.9086972296371183</v>
      </c>
      <c r="EG8" s="102">
        <v>-5.8286715855082658</v>
      </c>
      <c r="EH8" s="102">
        <v>-5.7482378105943557</v>
      </c>
    </row>
    <row r="9" spans="1:138">
      <c r="A9" s="107">
        <v>2</v>
      </c>
      <c r="B9" s="48" t="s">
        <v>19</v>
      </c>
      <c r="C9" s="89">
        <v>0.18</v>
      </c>
      <c r="D9" s="89">
        <v>0.18261818181818182</v>
      </c>
      <c r="E9" s="89">
        <v>0.18523636363636364</v>
      </c>
      <c r="F9" s="89">
        <v>0.18785454545454547</v>
      </c>
      <c r="G9" s="89">
        <v>0.19633755034158076</v>
      </c>
      <c r="H9" s="89">
        <v>0.19903634828442038</v>
      </c>
      <c r="I9" s="89">
        <v>0.20173514622725994</v>
      </c>
      <c r="J9" s="89">
        <v>0.20443394417009961</v>
      </c>
      <c r="K9" s="89">
        <v>0.21351054171529091</v>
      </c>
      <c r="L9" s="89">
        <v>0.21629243802428494</v>
      </c>
      <c r="M9" s="89">
        <v>0.21907433433327894</v>
      </c>
      <c r="N9" s="89">
        <v>0.22185623064227297</v>
      </c>
      <c r="O9" s="89">
        <v>0.23155493277408393</v>
      </c>
      <c r="P9" s="89">
        <v>0.23442248612113137</v>
      </c>
      <c r="Q9" s="89">
        <v>0.23729003946817889</v>
      </c>
      <c r="R9" s="89">
        <v>0.24015759281522639</v>
      </c>
      <c r="S9" s="89">
        <v>0.25050810450456285</v>
      </c>
      <c r="T9" s="89">
        <v>0.25346395234532465</v>
      </c>
      <c r="U9" s="89">
        <v>0.25641980018608646</v>
      </c>
      <c r="V9" s="89">
        <v>0.25937564802684826</v>
      </c>
      <c r="W9" s="89">
        <v>0.26608890009342551</v>
      </c>
      <c r="X9" s="89">
        <v>0.26608890009342551</v>
      </c>
      <c r="Y9" s="89">
        <v>0.26608890009342551</v>
      </c>
      <c r="Z9" s="89">
        <v>0.26608890009342551</v>
      </c>
      <c r="AA9" s="89">
        <v>0.27297590691937301</v>
      </c>
      <c r="AB9" s="89">
        <v>0.27297590691937301</v>
      </c>
      <c r="AC9" s="89">
        <v>0.27297590691937301</v>
      </c>
      <c r="AD9" s="89">
        <v>0.27297590691937301</v>
      </c>
      <c r="AE9" s="89">
        <v>0.28004116568669796</v>
      </c>
      <c r="AF9" s="89">
        <v>0.28004116568669796</v>
      </c>
      <c r="AG9" s="89">
        <v>0.28004116568669796</v>
      </c>
      <c r="AH9" s="89">
        <v>0.2800411656866979</v>
      </c>
      <c r="AI9" s="89">
        <v>0.28299999999999997</v>
      </c>
      <c r="AJ9" s="89">
        <v>0.28299999999999997</v>
      </c>
      <c r="AK9" s="89">
        <v>0.28299999999999997</v>
      </c>
      <c r="AL9" s="89">
        <v>0.28360000000000002</v>
      </c>
      <c r="AM9" s="89">
        <f>28.41%</f>
        <v>0.28410000000000002</v>
      </c>
      <c r="AN9" s="89">
        <f t="shared" ref="AN9:AO9" si="2">28.41%</f>
        <v>0.28410000000000002</v>
      </c>
      <c r="AO9" s="89">
        <f t="shared" si="2"/>
        <v>0.28410000000000002</v>
      </c>
      <c r="AP9" s="89">
        <v>0.28460000000000002</v>
      </c>
      <c r="AQ9" s="20"/>
      <c r="AR9" s="20"/>
      <c r="AS9" s="20"/>
      <c r="AT9" s="20"/>
      <c r="AW9" s="107">
        <v>2</v>
      </c>
      <c r="AX9" s="48" t="s">
        <v>20</v>
      </c>
      <c r="AY9" s="84">
        <v>3.0000000000000001E-3</v>
      </c>
      <c r="AZ9" s="84">
        <v>2E-3</v>
      </c>
      <c r="BA9" s="84">
        <v>2E-3</v>
      </c>
      <c r="BB9" s="84">
        <v>2E-3</v>
      </c>
      <c r="BC9" s="84">
        <v>8.0000000000000002E-3</v>
      </c>
      <c r="BD9" s="84">
        <v>8.0000000000000002E-3</v>
      </c>
      <c r="BE9" s="84">
        <v>8.0000000000000002E-3</v>
      </c>
      <c r="BF9" s="84">
        <v>8.0000000000000002E-3</v>
      </c>
      <c r="BG9" s="84">
        <v>8.0000000000000002E-3</v>
      </c>
      <c r="BH9" s="84">
        <v>8.0000000000000002E-3</v>
      </c>
      <c r="BI9" s="84">
        <v>8.0000000000000002E-3</v>
      </c>
      <c r="BJ9" s="84">
        <v>8.0000000000000002E-3</v>
      </c>
      <c r="BK9" s="84">
        <v>8.0000000000000002E-3</v>
      </c>
      <c r="BL9" s="84">
        <v>8.0000000000000002E-3</v>
      </c>
      <c r="BM9" s="84">
        <v>8.0000000000000002E-3</v>
      </c>
      <c r="BN9" s="84">
        <v>8.0000000000000002E-3</v>
      </c>
      <c r="BO9" s="84">
        <v>8.0000000000000002E-3</v>
      </c>
      <c r="BP9" s="84">
        <v>8.0000000000000002E-3</v>
      </c>
      <c r="BQ9" s="84">
        <v>8.0000000000000002E-3</v>
      </c>
      <c r="BR9" s="84">
        <v>8.0000000000000002E-3</v>
      </c>
      <c r="BS9" s="84">
        <v>8.0000000000000002E-3</v>
      </c>
      <c r="BT9" s="84">
        <v>8.0000000000000002E-3</v>
      </c>
      <c r="BU9" s="84">
        <v>8.0000000000000002E-3</v>
      </c>
      <c r="BV9" s="84">
        <v>8.0000000000000002E-3</v>
      </c>
      <c r="BW9" s="84">
        <v>8.0000000000000002E-3</v>
      </c>
      <c r="BX9" s="84">
        <v>8.0000000000000002E-3</v>
      </c>
      <c r="BY9" s="84">
        <v>8.0000000000000002E-3</v>
      </c>
      <c r="BZ9" s="84">
        <v>8.0000000000000002E-3</v>
      </c>
      <c r="CA9" s="84">
        <v>8.0000000000000002E-3</v>
      </c>
      <c r="CB9" s="84">
        <v>8.0000000000000002E-3</v>
      </c>
      <c r="CC9" s="84">
        <v>8.0000000000000002E-3</v>
      </c>
      <c r="CD9" s="84">
        <v>8.0000000000000002E-3</v>
      </c>
      <c r="CE9" s="84">
        <v>8.0000000000000002E-3</v>
      </c>
      <c r="CF9" s="84">
        <v>8.0000000000000002E-3</v>
      </c>
      <c r="CG9" s="84">
        <v>8.0000000000000002E-3</v>
      </c>
      <c r="CH9" s="84">
        <v>8.0000000000000002E-3</v>
      </c>
      <c r="CI9" s="84">
        <v>8.0000000000000002E-3</v>
      </c>
      <c r="CJ9" s="84">
        <v>8.0000000000000002E-3</v>
      </c>
      <c r="CK9" s="84">
        <v>8.0000000000000002E-3</v>
      </c>
      <c r="CL9" s="84">
        <v>8.0000000000000002E-3</v>
      </c>
      <c r="CM9" s="84">
        <v>8.0000000000000002E-3</v>
      </c>
      <c r="CN9" s="84">
        <v>8.0000000000000002E-3</v>
      </c>
      <c r="CO9" s="84">
        <v>8.0000000000000002E-3</v>
      </c>
      <c r="CP9" s="84">
        <v>8.0000000000000002E-3</v>
      </c>
      <c r="CU9" s="102">
        <v>0</v>
      </c>
      <c r="CV9" s="102">
        <v>0</v>
      </c>
      <c r="CW9" s="102">
        <v>0</v>
      </c>
      <c r="CX9" s="102">
        <v>0</v>
      </c>
      <c r="CY9" s="102">
        <v>5.8491000000001847E-2</v>
      </c>
      <c r="CZ9" s="102">
        <v>5.9295000000002318E-2</v>
      </c>
      <c r="DA9" s="102">
        <v>6.0099000000001013E-2</v>
      </c>
      <c r="DB9" s="102">
        <v>6.090300000000326E-2</v>
      </c>
      <c r="DC9" s="102">
        <v>0.12927616500000561</v>
      </c>
      <c r="DD9" s="102">
        <v>0.1309605450000042</v>
      </c>
      <c r="DE9" s="102">
        <v>0.13264492500000458</v>
      </c>
      <c r="DF9" s="102">
        <v>0.13432930500000495</v>
      </c>
      <c r="DG9" s="102">
        <v>0.21371190832500631</v>
      </c>
      <c r="DH9" s="102">
        <v>0.21635849542500729</v>
      </c>
      <c r="DI9" s="102">
        <v>0.2190050825250065</v>
      </c>
      <c r="DJ9" s="102">
        <v>0.22165166962500749</v>
      </c>
      <c r="DK9" s="102">
        <v>0.31327108815263571</v>
      </c>
      <c r="DL9" s="102">
        <v>0.31696750217213321</v>
      </c>
      <c r="DM9" s="102">
        <v>0.32066391619163426</v>
      </c>
      <c r="DN9" s="102">
        <v>0.32436033021113531</v>
      </c>
      <c r="DO9" s="102">
        <v>-0.59892407092023703</v>
      </c>
      <c r="DP9" s="102">
        <v>-0.76493944977220352</v>
      </c>
      <c r="DQ9" s="102">
        <v>-0.93088608727072497</v>
      </c>
      <c r="DR9" s="102">
        <v>-1.0967638459330971</v>
      </c>
      <c r="DS9" s="102">
        <v>-2.0643565739501426</v>
      </c>
      <c r="DT9" s="102">
        <v>-2.2043287565054221</v>
      </c>
      <c r="DU9" s="102">
        <v>-2.3440232140786179</v>
      </c>
      <c r="DV9" s="102">
        <v>-2.4834388357698032</v>
      </c>
      <c r="DW9" s="102">
        <v>-3.4991308024141645</v>
      </c>
      <c r="DX9" s="102">
        <v>-3.6119233385198086</v>
      </c>
      <c r="DY9" s="102">
        <v>-3.7149546643839422</v>
      </c>
      <c r="DZ9" s="102">
        <v>-3.607644392370247</v>
      </c>
      <c r="EA9" s="102">
        <v>-3.4745009608737902</v>
      </c>
      <c r="EB9" s="102">
        <v>-3.3403722679842573</v>
      </c>
      <c r="EC9" s="102">
        <v>-3.2052510227673423</v>
      </c>
      <c r="ED9" s="102">
        <v>-3.0691298803358222</v>
      </c>
      <c r="EE9" s="102">
        <v>-2.9190298323665438</v>
      </c>
      <c r="EF9" s="102">
        <v>-2.7677139740087142</v>
      </c>
      <c r="EG9" s="102">
        <v>-2.671669315276155</v>
      </c>
      <c r="EH9" s="102">
        <v>-2.5751348287840621</v>
      </c>
    </row>
    <row r="10" spans="1:138">
      <c r="A10" s="108"/>
      <c r="B10" s="48" t="s">
        <v>21</v>
      </c>
      <c r="C10" s="89">
        <v>0.25</v>
      </c>
      <c r="D10" s="89">
        <v>0.254</v>
      </c>
      <c r="E10" s="89">
        <v>0.25800000000000001</v>
      </c>
      <c r="F10" s="89">
        <v>0.26200000000000001</v>
      </c>
      <c r="G10" s="89">
        <v>0.27419037433155086</v>
      </c>
      <c r="H10" s="89">
        <v>0.27831353785533353</v>
      </c>
      <c r="I10" s="89">
        <v>0.28243670137911631</v>
      </c>
      <c r="J10" s="89">
        <v>0.28655986490289898</v>
      </c>
      <c r="K10" s="89">
        <v>0.2996334149478973</v>
      </c>
      <c r="L10" s="89">
        <v>0.30388353430886034</v>
      </c>
      <c r="M10" s="89">
        <v>0.30813365366982343</v>
      </c>
      <c r="N10" s="89">
        <v>0.31238377303078657</v>
      </c>
      <c r="O10" s="89">
        <v>0.32638332887575117</v>
      </c>
      <c r="P10" s="89">
        <v>0.33076431315596261</v>
      </c>
      <c r="Q10" s="89">
        <v>0.33514529743617405</v>
      </c>
      <c r="R10" s="89">
        <v>0.33952628171638544</v>
      </c>
      <c r="S10" s="89">
        <v>0.35449647368025228</v>
      </c>
      <c r="T10" s="89">
        <v>0.35901235232586054</v>
      </c>
      <c r="U10" s="89">
        <v>0.36352823097146886</v>
      </c>
      <c r="V10" s="89">
        <v>0.36804410961707723</v>
      </c>
      <c r="W10" s="89">
        <v>0.36804410961707723</v>
      </c>
      <c r="X10" s="89">
        <v>0.36804410961707723</v>
      </c>
      <c r="Y10" s="89">
        <v>0.36804410961707723</v>
      </c>
      <c r="Z10" s="89">
        <v>0.36804410961707723</v>
      </c>
      <c r="AA10" s="89">
        <v>0.36804410961707723</v>
      </c>
      <c r="AB10" s="89">
        <v>0.36804410961707723</v>
      </c>
      <c r="AC10" s="89">
        <v>0.36804410961707723</v>
      </c>
      <c r="AD10" s="89">
        <v>0.36804410961707723</v>
      </c>
      <c r="AE10" s="89">
        <v>0.36804410961707723</v>
      </c>
      <c r="AF10" s="89">
        <v>0.36804410961707723</v>
      </c>
      <c r="AG10" s="89">
        <v>0.36804410961707723</v>
      </c>
      <c r="AH10" s="89">
        <v>0.36804410961707723</v>
      </c>
      <c r="AI10" s="89">
        <v>0.36804410961707723</v>
      </c>
      <c r="AJ10" s="89">
        <v>0.36804410961707723</v>
      </c>
      <c r="AK10" s="89">
        <v>0.36804410961707723</v>
      </c>
      <c r="AL10" s="89">
        <v>0.36859999999999998</v>
      </c>
      <c r="AM10" s="89">
        <v>0.36859999999999998</v>
      </c>
      <c r="AN10" s="89">
        <v>0.36859999999999998</v>
      </c>
      <c r="AO10" s="89">
        <v>0.36859999999999998</v>
      </c>
      <c r="AP10" s="89">
        <v>0.36934344257735657</v>
      </c>
      <c r="AQ10" s="20"/>
      <c r="AR10" s="20"/>
      <c r="AS10" s="20"/>
      <c r="AT10" s="20"/>
      <c r="AW10" s="108"/>
      <c r="AX10" s="48" t="s">
        <v>19</v>
      </c>
      <c r="AY10" s="84">
        <v>3.0000000000000001E-3</v>
      </c>
      <c r="AZ10" s="84">
        <v>2E-3</v>
      </c>
      <c r="BA10" s="84">
        <v>2E-3</v>
      </c>
      <c r="BB10" s="84">
        <v>2E-3</v>
      </c>
      <c r="BC10" s="84">
        <v>8.0000000000000002E-3</v>
      </c>
      <c r="BD10" s="84">
        <v>8.0000000000000002E-3</v>
      </c>
      <c r="BE10" s="84">
        <v>8.0000000000000002E-3</v>
      </c>
      <c r="BF10" s="84">
        <v>8.0000000000000002E-3</v>
      </c>
      <c r="BG10" s="84">
        <v>8.0000000000000002E-3</v>
      </c>
      <c r="BH10" s="84">
        <v>8.0000000000000002E-3</v>
      </c>
      <c r="BI10" s="84">
        <v>8.0000000000000002E-3</v>
      </c>
      <c r="BJ10" s="84">
        <v>8.0000000000000002E-3</v>
      </c>
      <c r="BK10" s="84">
        <v>8.0000000000000002E-3</v>
      </c>
      <c r="BL10" s="84">
        <v>8.0000000000000002E-3</v>
      </c>
      <c r="BM10" s="84">
        <v>8.0000000000000002E-3</v>
      </c>
      <c r="BN10" s="84">
        <v>8.0000000000000002E-3</v>
      </c>
      <c r="BO10" s="84">
        <v>8.0000000000000002E-3</v>
      </c>
      <c r="BP10" s="84">
        <v>8.0000000000000002E-3</v>
      </c>
      <c r="BQ10" s="84">
        <v>8.0000000000000002E-3</v>
      </c>
      <c r="BR10" s="84">
        <v>8.0000000000000002E-3</v>
      </c>
      <c r="BS10" s="84">
        <v>8.0000000000000002E-3</v>
      </c>
      <c r="BT10" s="84">
        <v>8.0000000000000002E-3</v>
      </c>
      <c r="BU10" s="84">
        <v>8.0000000000000002E-3</v>
      </c>
      <c r="BV10" s="84">
        <v>8.0000000000000002E-3</v>
      </c>
      <c r="BW10" s="84">
        <v>8.0000000000000002E-3</v>
      </c>
      <c r="BX10" s="84">
        <v>8.0000000000000002E-3</v>
      </c>
      <c r="BY10" s="84">
        <v>8.0000000000000002E-3</v>
      </c>
      <c r="BZ10" s="84">
        <v>8.0000000000000002E-3</v>
      </c>
      <c r="CA10" s="84">
        <v>8.0000000000000002E-3</v>
      </c>
      <c r="CB10" s="84">
        <v>8.0000000000000002E-3</v>
      </c>
      <c r="CC10" s="84">
        <v>8.0000000000000002E-3</v>
      </c>
      <c r="CD10" s="84">
        <v>8.0000000000000002E-3</v>
      </c>
      <c r="CE10" s="84">
        <v>8.0000000000000002E-3</v>
      </c>
      <c r="CF10" s="84">
        <v>8.0000000000000002E-3</v>
      </c>
      <c r="CG10" s="84">
        <v>8.0000000000000002E-3</v>
      </c>
      <c r="CH10" s="84">
        <v>8.0000000000000002E-3</v>
      </c>
      <c r="CI10" s="84">
        <v>8.0000000000000002E-3</v>
      </c>
      <c r="CJ10" s="84">
        <v>8.0000000000000002E-3</v>
      </c>
      <c r="CK10" s="84">
        <v>8.0000000000000002E-3</v>
      </c>
      <c r="CL10" s="84">
        <v>8.0000000000000002E-3</v>
      </c>
      <c r="CM10" s="84">
        <v>8.0000000000000002E-3</v>
      </c>
      <c r="CN10" s="84">
        <v>8.0000000000000002E-3</v>
      </c>
      <c r="CO10" s="84">
        <v>8.0000000000000002E-3</v>
      </c>
      <c r="CP10" s="84">
        <v>8.0000000000000002E-3</v>
      </c>
      <c r="CU10" s="102">
        <v>0</v>
      </c>
      <c r="CV10" s="102">
        <v>0</v>
      </c>
      <c r="CW10" s="102">
        <v>0</v>
      </c>
      <c r="CX10" s="102">
        <v>0</v>
      </c>
      <c r="CY10" s="102">
        <v>2.5030600000000902E-2</v>
      </c>
      <c r="CZ10" s="102">
        <v>2.540700000000129E-2</v>
      </c>
      <c r="DA10" s="102">
        <v>2.5783400000001677E-2</v>
      </c>
      <c r="DB10" s="102">
        <v>2.6159800000001177E-2</v>
      </c>
      <c r="DC10" s="102">
        <v>5.5593339000001407E-2</v>
      </c>
      <c r="DD10" s="102">
        <v>5.6381897000001402E-2</v>
      </c>
      <c r="DE10" s="102">
        <v>5.7170455000001397E-2</v>
      </c>
      <c r="DF10" s="102">
        <v>5.795901300000228E-2</v>
      </c>
      <c r="DG10" s="102">
        <v>9.2307296195002664E-2</v>
      </c>
      <c r="DH10" s="102">
        <v>9.3546320305001984E-2</v>
      </c>
      <c r="DI10" s="102">
        <v>9.4785344415002193E-2</v>
      </c>
      <c r="DJ10" s="102">
        <v>9.6024368525002401E-2</v>
      </c>
      <c r="DK10" s="102">
        <v>0.13584505422857784</v>
      </c>
      <c r="DL10" s="102">
        <v>0.13757556447352837</v>
      </c>
      <c r="DM10" s="102">
        <v>0.139306074718478</v>
      </c>
      <c r="DN10" s="102">
        <v>0.14103658496342852</v>
      </c>
      <c r="DO10" s="102">
        <v>-0.26710269662699382</v>
      </c>
      <c r="DP10" s="102">
        <v>-0.34597040320279859</v>
      </c>
      <c r="DQ10" s="102">
        <v>-0.42480822003922203</v>
      </c>
      <c r="DR10" s="102">
        <v>-0.50361608735678409</v>
      </c>
      <c r="DS10" s="102">
        <v>-0.93252468000704436</v>
      </c>
      <c r="DT10" s="102">
        <v>-1.0003691077249037</v>
      </c>
      <c r="DU10" s="102">
        <v>-1.0680927765848427</v>
      </c>
      <c r="DV10" s="102">
        <v>-1.1356952035514274</v>
      </c>
      <c r="DW10" s="102">
        <v>-1.5871432267141277</v>
      </c>
      <c r="DX10" s="102">
        <v>-1.6434837611934476</v>
      </c>
      <c r="DY10" s="102">
        <v>-1.699547664808061</v>
      </c>
      <c r="DZ10" s="102">
        <v>-1.7553332777727775</v>
      </c>
      <c r="EA10" s="102">
        <v>-2.2355365058398462</v>
      </c>
      <c r="EB10" s="102">
        <v>-2.2842711352372582</v>
      </c>
      <c r="EC10" s="102">
        <v>-2.3325741884596169</v>
      </c>
      <c r="ED10" s="102">
        <v>-2.3804424718432262</v>
      </c>
      <c r="EE10" s="102">
        <v>-2.8967570655173613</v>
      </c>
      <c r="EF10" s="102">
        <v>-2.9428359736527963</v>
      </c>
      <c r="EG10" s="102">
        <v>-2.9570109814642525</v>
      </c>
      <c r="EH10" s="102">
        <v>-2.9150363839628231</v>
      </c>
    </row>
    <row r="11" spans="1:138">
      <c r="A11" s="108"/>
      <c r="B11" s="49" t="s">
        <v>22</v>
      </c>
      <c r="C11" s="89">
        <v>0.2</v>
      </c>
      <c r="D11" s="89">
        <v>0.20319999999999999</v>
      </c>
      <c r="E11" s="89">
        <v>0.2064</v>
      </c>
      <c r="F11" s="89">
        <v>0.20960000000000001</v>
      </c>
      <c r="G11" s="89">
        <v>0.21935229946524068</v>
      </c>
      <c r="H11" s="89">
        <v>0.22265083028426685</v>
      </c>
      <c r="I11" s="89">
        <v>0.22594936110329303</v>
      </c>
      <c r="J11" s="89">
        <v>0.2292478919223192</v>
      </c>
      <c r="K11" s="89">
        <v>0.23970673195831788</v>
      </c>
      <c r="L11" s="89">
        <v>0.24310682744708839</v>
      </c>
      <c r="M11" s="89">
        <v>0.24650692293585882</v>
      </c>
      <c r="N11" s="89">
        <v>0.24990701842462928</v>
      </c>
      <c r="O11" s="89">
        <v>0.26110666310060099</v>
      </c>
      <c r="P11" s="89">
        <v>0.2646114505247702</v>
      </c>
      <c r="Q11" s="89">
        <v>0.26811623794893924</v>
      </c>
      <c r="R11" s="89">
        <v>0.27162102537310839</v>
      </c>
      <c r="S11" s="89">
        <v>0.28256637328238798</v>
      </c>
      <c r="T11" s="89">
        <v>0.28256637328238798</v>
      </c>
      <c r="U11" s="89">
        <v>0.28256637328238798</v>
      </c>
      <c r="V11" s="89">
        <v>0.28256637328238798</v>
      </c>
      <c r="W11" s="89">
        <v>0.28256637328238798</v>
      </c>
      <c r="X11" s="89">
        <v>0.28256637328238798</v>
      </c>
      <c r="Y11" s="89">
        <v>0.28256637328238798</v>
      </c>
      <c r="Z11" s="89">
        <v>0.28256637328238798</v>
      </c>
      <c r="AA11" s="89">
        <v>0.28256637328238798</v>
      </c>
      <c r="AB11" s="89">
        <v>0.28256637328238798</v>
      </c>
      <c r="AC11" s="89">
        <v>0.28256637328238798</v>
      </c>
      <c r="AD11" s="89">
        <v>0.28256637328238798</v>
      </c>
      <c r="AE11" s="89">
        <v>0.28256637328238798</v>
      </c>
      <c r="AF11" s="89">
        <v>0.28256637328238798</v>
      </c>
      <c r="AG11" s="89">
        <v>0.28256637328238798</v>
      </c>
      <c r="AH11" s="89">
        <v>0.28256637328238798</v>
      </c>
      <c r="AI11" s="89">
        <v>0.28256637328238798</v>
      </c>
      <c r="AJ11" s="89">
        <v>0.28256637328238798</v>
      </c>
      <c r="AK11" s="89">
        <v>0.28256637328238798</v>
      </c>
      <c r="AL11" s="89">
        <v>0.28299999999999997</v>
      </c>
      <c r="AM11" s="89">
        <v>0.28299999999999997</v>
      </c>
      <c r="AN11" s="89">
        <v>0.28299999999999997</v>
      </c>
      <c r="AO11" s="89">
        <v>0.28299999999999997</v>
      </c>
      <c r="AP11" s="89">
        <v>0.28356393795650914</v>
      </c>
      <c r="AQ11" s="20"/>
      <c r="AR11" s="20"/>
      <c r="AS11" s="20"/>
      <c r="AT11" s="20"/>
      <c r="AW11" s="108"/>
      <c r="AX11" s="48" t="s">
        <v>21</v>
      </c>
      <c r="AY11" s="84">
        <v>3.0000000000000001E-3</v>
      </c>
      <c r="AZ11" s="84">
        <v>2E-3</v>
      </c>
      <c r="BA11" s="84">
        <v>2E-3</v>
      </c>
      <c r="BB11" s="84">
        <v>2E-3</v>
      </c>
      <c r="BC11" s="84">
        <v>8.0000000000000002E-3</v>
      </c>
      <c r="BD11" s="84">
        <v>8.0000000000000002E-3</v>
      </c>
      <c r="BE11" s="84">
        <v>8.0000000000000002E-3</v>
      </c>
      <c r="BF11" s="84">
        <v>8.0000000000000002E-3</v>
      </c>
      <c r="BG11" s="84">
        <v>8.0000000000000002E-3</v>
      </c>
      <c r="BH11" s="84">
        <v>8.0000000000000002E-3</v>
      </c>
      <c r="BI11" s="84">
        <v>8.0000000000000002E-3</v>
      </c>
      <c r="BJ11" s="84">
        <v>8.0000000000000002E-3</v>
      </c>
      <c r="BK11" s="84">
        <v>8.0000000000000002E-3</v>
      </c>
      <c r="BL11" s="84">
        <v>8.0000000000000002E-3</v>
      </c>
      <c r="BM11" s="84">
        <v>8.0000000000000002E-3</v>
      </c>
      <c r="BN11" s="84">
        <v>8.0000000000000002E-3</v>
      </c>
      <c r="BO11" s="84">
        <v>8.0000000000000002E-3</v>
      </c>
      <c r="BP11" s="84">
        <v>8.0000000000000002E-3</v>
      </c>
      <c r="BQ11" s="84">
        <v>8.0000000000000002E-3</v>
      </c>
      <c r="BR11" s="84">
        <v>8.0000000000000002E-3</v>
      </c>
      <c r="BS11" s="84">
        <v>8.0000000000000002E-3</v>
      </c>
      <c r="BT11" s="84">
        <v>8.0000000000000002E-3</v>
      </c>
      <c r="BU11" s="84">
        <v>8.0000000000000002E-3</v>
      </c>
      <c r="BV11" s="84">
        <v>8.0000000000000002E-3</v>
      </c>
      <c r="BW11" s="84">
        <v>8.0000000000000002E-3</v>
      </c>
      <c r="BX11" s="84">
        <v>8.0000000000000002E-3</v>
      </c>
      <c r="BY11" s="84">
        <v>8.0000000000000002E-3</v>
      </c>
      <c r="BZ11" s="84">
        <v>8.0000000000000002E-3</v>
      </c>
      <c r="CA11" s="84">
        <v>8.0000000000000002E-3</v>
      </c>
      <c r="CB11" s="84">
        <v>8.0000000000000002E-3</v>
      </c>
      <c r="CC11" s="84">
        <v>8.0000000000000002E-3</v>
      </c>
      <c r="CD11" s="84">
        <v>8.0000000000000002E-3</v>
      </c>
      <c r="CE11" s="84">
        <v>8.0000000000000002E-3</v>
      </c>
      <c r="CF11" s="84">
        <v>8.0000000000000002E-3</v>
      </c>
      <c r="CG11" s="84">
        <v>8.0000000000000002E-3</v>
      </c>
      <c r="CH11" s="84">
        <v>8.0000000000000002E-3</v>
      </c>
      <c r="CI11" s="84">
        <v>8.0000000000000002E-3</v>
      </c>
      <c r="CJ11" s="84">
        <v>8.0000000000000002E-3</v>
      </c>
      <c r="CK11" s="84">
        <v>8.0000000000000002E-3</v>
      </c>
      <c r="CL11" s="84">
        <v>8.0000000000000002E-3</v>
      </c>
      <c r="CM11" s="84">
        <v>8.0000000000000002E-3</v>
      </c>
      <c r="CN11" s="84">
        <v>8.0000000000000002E-3</v>
      </c>
      <c r="CO11" s="84">
        <v>8.0000000000000002E-3</v>
      </c>
      <c r="CP11" s="84">
        <v>8.0000000000000002E-3</v>
      </c>
      <c r="CU11" s="102">
        <v>0</v>
      </c>
      <c r="CV11" s="102">
        <v>0</v>
      </c>
      <c r="CW11" s="102">
        <v>0</v>
      </c>
      <c r="CX11" s="102">
        <v>0</v>
      </c>
      <c r="CY11" s="102">
        <v>7.5544000000000722E-2</v>
      </c>
      <c r="CZ11" s="102">
        <v>7.668000000000319E-2</v>
      </c>
      <c r="DA11" s="102">
        <v>7.7816000000002106E-2</v>
      </c>
      <c r="DB11" s="102">
        <v>7.8952000000001021E-2</v>
      </c>
      <c r="DC11" s="102">
        <v>0.16778436000000241</v>
      </c>
      <c r="DD11" s="102">
        <v>0.17016428000000161</v>
      </c>
      <c r="DE11" s="102">
        <v>0.17254420000000437</v>
      </c>
      <c r="DF11" s="102">
        <v>0.17492412000000002</v>
      </c>
      <c r="DG11" s="102">
        <v>0.27858950180000619</v>
      </c>
      <c r="DH11" s="102">
        <v>0.28232895820000437</v>
      </c>
      <c r="DI11" s="102">
        <v>0.28606841460000254</v>
      </c>
      <c r="DJ11" s="102">
        <v>0.28980787100000427</v>
      </c>
      <c r="DK11" s="102">
        <v>0.33119225413300057</v>
      </c>
      <c r="DL11" s="102">
        <v>6.0252028071001718E-2</v>
      </c>
      <c r="DM11" s="102">
        <v>0</v>
      </c>
      <c r="DN11" s="102">
        <v>0</v>
      </c>
      <c r="DO11" s="102">
        <v>4.3199999999998795E-2</v>
      </c>
      <c r="DP11" s="102">
        <v>8.6486399999998298E-2</v>
      </c>
      <c r="DQ11" s="102">
        <v>0.1298593727999986</v>
      </c>
      <c r="DR11" s="102">
        <v>0.1733190915455971</v>
      </c>
      <c r="DS11" s="102">
        <v>0.2604123679117798</v>
      </c>
      <c r="DT11" s="102">
        <v>0.34785401738342614</v>
      </c>
      <c r="DU11" s="102">
        <v>0.43564543345296158</v>
      </c>
      <c r="DV11" s="102">
        <v>0.5237880151867742</v>
      </c>
      <c r="DW11" s="102">
        <v>0.6565307432778944</v>
      </c>
      <c r="DX11" s="102">
        <v>0.79006992773756224</v>
      </c>
      <c r="DY11" s="102">
        <v>0.92441034730398641</v>
      </c>
      <c r="DZ11" s="102">
        <v>1.0595568093878107</v>
      </c>
      <c r="EA11" s="102">
        <v>1.2272375297772768</v>
      </c>
      <c r="EB11" s="102">
        <v>1.396159087497626</v>
      </c>
      <c r="EC11" s="102">
        <v>1.5663306647451058</v>
      </c>
      <c r="ED11" s="102">
        <v>1.7377615116642176</v>
      </c>
      <c r="EE11" s="102">
        <v>1.9267973799086988</v>
      </c>
      <c r="EF11" s="102">
        <v>2.1173644386859607</v>
      </c>
      <c r="EG11" s="102">
        <v>2.2383229973232623</v>
      </c>
      <c r="EH11" s="102">
        <v>2.3598984446096125</v>
      </c>
    </row>
    <row r="12" spans="1:138">
      <c r="A12" s="109"/>
      <c r="B12" s="48" t="s">
        <v>20</v>
      </c>
      <c r="C12" s="89">
        <v>0.1</v>
      </c>
      <c r="D12" s="89">
        <v>0.10177777777777779</v>
      </c>
      <c r="E12" s="89">
        <v>0.10355555555555557</v>
      </c>
      <c r="F12" s="89">
        <v>0.10533333333333336</v>
      </c>
      <c r="G12" s="89">
        <v>0.11040915658129283</v>
      </c>
      <c r="H12" s="89">
        <v>0.11224167370297405</v>
      </c>
      <c r="I12" s="89">
        <v>0.11407419082465528</v>
      </c>
      <c r="J12" s="89">
        <v>0.11590670794633644</v>
      </c>
      <c r="K12" s="89">
        <v>0.12136451952972357</v>
      </c>
      <c r="L12" s="89">
        <v>0.1232534614679294</v>
      </c>
      <c r="M12" s="89">
        <v>0.12514240340613519</v>
      </c>
      <c r="N12" s="89">
        <v>0.12703134534434102</v>
      </c>
      <c r="O12" s="89">
        <v>0.13288985649974655</v>
      </c>
      <c r="P12" s="89">
        <v>0.13483696062428499</v>
      </c>
      <c r="Q12" s="89">
        <v>0.1367840647488234</v>
      </c>
      <c r="R12" s="89">
        <v>0.13873116887336182</v>
      </c>
      <c r="S12" s="89">
        <v>0.1450098809534224</v>
      </c>
      <c r="T12" s="89">
        <v>0.14701693812924835</v>
      </c>
      <c r="U12" s="89">
        <v>0.14902399530507424</v>
      </c>
      <c r="V12" s="89">
        <v>0.15103105248090015</v>
      </c>
      <c r="W12" s="89">
        <v>0.15103105248090015</v>
      </c>
      <c r="X12" s="89">
        <v>0.15103105248090015</v>
      </c>
      <c r="Y12" s="89">
        <v>0.15103105248090015</v>
      </c>
      <c r="Z12" s="89">
        <v>0.15103105248090015</v>
      </c>
      <c r="AA12" s="89">
        <v>0.15103105248090015</v>
      </c>
      <c r="AB12" s="89">
        <v>0.15103105248090015</v>
      </c>
      <c r="AC12" s="89">
        <v>0.15103105248090015</v>
      </c>
      <c r="AD12" s="89">
        <v>0.15103105248090015</v>
      </c>
      <c r="AE12" s="89">
        <v>0.15103105248090015</v>
      </c>
      <c r="AF12" s="89">
        <v>0.15103105248090015</v>
      </c>
      <c r="AG12" s="89">
        <v>0.15103105248090015</v>
      </c>
      <c r="AH12" s="89">
        <v>0.15103105248090015</v>
      </c>
      <c r="AI12" s="89">
        <v>0.15103105248090015</v>
      </c>
      <c r="AJ12" s="89">
        <v>0.15103105248090015</v>
      </c>
      <c r="AK12" s="89">
        <v>0.15103105248090015</v>
      </c>
      <c r="AL12" s="89">
        <v>0.15140000000000001</v>
      </c>
      <c r="AM12" s="89">
        <v>0.15140000000000001</v>
      </c>
      <c r="AN12" s="89">
        <v>0.15140000000000001</v>
      </c>
      <c r="AO12" s="89">
        <v>0.15140000000000001</v>
      </c>
      <c r="AP12" s="89">
        <v>0.15156424841961055</v>
      </c>
      <c r="AQ12" s="20"/>
      <c r="AR12" s="20"/>
      <c r="AS12" s="20"/>
      <c r="AT12" s="20"/>
      <c r="AW12" s="109"/>
      <c r="AX12" s="49" t="s">
        <v>22</v>
      </c>
      <c r="AY12" s="84">
        <v>3.0000000000000001E-3</v>
      </c>
      <c r="AZ12" s="84">
        <v>2E-3</v>
      </c>
      <c r="BA12" s="84">
        <v>2E-3</v>
      </c>
      <c r="BB12" s="84">
        <v>2E-3</v>
      </c>
      <c r="BC12" s="84">
        <v>8.0000000000000002E-3</v>
      </c>
      <c r="BD12" s="84">
        <v>8.0000000000000002E-3</v>
      </c>
      <c r="BE12" s="84">
        <v>8.0000000000000002E-3</v>
      </c>
      <c r="BF12" s="84">
        <v>8.0000000000000002E-3</v>
      </c>
      <c r="BG12" s="84">
        <v>8.0000000000000002E-3</v>
      </c>
      <c r="BH12" s="84">
        <v>8.0000000000000002E-3</v>
      </c>
      <c r="BI12" s="84">
        <v>8.0000000000000002E-3</v>
      </c>
      <c r="BJ12" s="84">
        <v>8.0000000000000002E-3</v>
      </c>
      <c r="BK12" s="84">
        <v>8.0000000000000002E-3</v>
      </c>
      <c r="BL12" s="84">
        <v>8.0000000000000002E-3</v>
      </c>
      <c r="BM12" s="84">
        <v>8.0000000000000002E-3</v>
      </c>
      <c r="BN12" s="84">
        <v>8.0000000000000002E-3</v>
      </c>
      <c r="BO12" s="84">
        <v>8.0000000000000002E-3</v>
      </c>
      <c r="BP12" s="84">
        <v>8.0000000000000002E-3</v>
      </c>
      <c r="BQ12" s="84">
        <v>8.0000000000000002E-3</v>
      </c>
      <c r="BR12" s="84">
        <v>8.0000000000000002E-3</v>
      </c>
      <c r="BS12" s="84">
        <v>8.0000000000000002E-3</v>
      </c>
      <c r="BT12" s="84">
        <v>8.0000000000000002E-3</v>
      </c>
      <c r="BU12" s="84">
        <v>8.0000000000000002E-3</v>
      </c>
      <c r="BV12" s="84">
        <v>8.0000000000000002E-3</v>
      </c>
      <c r="BW12" s="84">
        <v>8.0000000000000002E-3</v>
      </c>
      <c r="BX12" s="84">
        <v>8.0000000000000002E-3</v>
      </c>
      <c r="BY12" s="84">
        <v>8.0000000000000002E-3</v>
      </c>
      <c r="BZ12" s="84">
        <v>8.0000000000000002E-3</v>
      </c>
      <c r="CA12" s="84">
        <v>8.0000000000000002E-3</v>
      </c>
      <c r="CB12" s="84">
        <v>8.0000000000000002E-3</v>
      </c>
      <c r="CC12" s="84">
        <v>8.0000000000000002E-3</v>
      </c>
      <c r="CD12" s="84">
        <v>8.0000000000000002E-3</v>
      </c>
      <c r="CE12" s="84">
        <v>8.0000000000000002E-3</v>
      </c>
      <c r="CF12" s="84">
        <v>8.0000000000000002E-3</v>
      </c>
      <c r="CG12" s="84">
        <v>8.0000000000000002E-3</v>
      </c>
      <c r="CH12" s="84">
        <v>8.0000000000000002E-3</v>
      </c>
      <c r="CI12" s="84">
        <v>8.0000000000000002E-3</v>
      </c>
      <c r="CJ12" s="84">
        <v>8.0000000000000002E-3</v>
      </c>
      <c r="CK12" s="84">
        <v>8.0000000000000002E-3</v>
      </c>
      <c r="CL12" s="84">
        <v>8.0000000000000002E-3</v>
      </c>
      <c r="CM12" s="84">
        <v>8.0000000000000002E-3</v>
      </c>
      <c r="CN12" s="84">
        <v>8.0000000000000002E-3</v>
      </c>
      <c r="CO12" s="84">
        <v>8.0000000000000002E-3</v>
      </c>
      <c r="CP12" s="84">
        <v>8.0000000000000002E-3</v>
      </c>
      <c r="CU12" s="102">
        <v>0</v>
      </c>
      <c r="CV12" s="102">
        <v>0</v>
      </c>
      <c r="CW12" s="102">
        <v>0</v>
      </c>
      <c r="CX12" s="102">
        <v>0</v>
      </c>
      <c r="CY12" s="102">
        <v>3.2535000000001091E-2</v>
      </c>
      <c r="CZ12" s="102">
        <v>3.3075000000001076E-2</v>
      </c>
      <c r="DA12" s="102">
        <v>3.3615000000001949E-2</v>
      </c>
      <c r="DB12" s="102">
        <v>3.4155000000001046E-2</v>
      </c>
      <c r="DC12" s="102">
        <v>7.2686025000002097E-2</v>
      </c>
      <c r="DD12" s="102">
        <v>7.3817325000001155E-2</v>
      </c>
      <c r="DE12" s="102">
        <v>7.4948625000001989E-2</v>
      </c>
      <c r="DF12" s="102">
        <v>7.6079925000001936E-2</v>
      </c>
      <c r="DG12" s="102">
        <v>0.12131836762500114</v>
      </c>
      <c r="DH12" s="102">
        <v>0.12309592612500353</v>
      </c>
      <c r="DI12" s="102">
        <v>0.12487348462500236</v>
      </c>
      <c r="DJ12" s="102">
        <v>0.12665104312500297</v>
      </c>
      <c r="DK12" s="102">
        <v>0.17937262807313026</v>
      </c>
      <c r="DL12" s="102">
        <v>0.18185529420563107</v>
      </c>
      <c r="DM12" s="102">
        <v>0.1843379603381301</v>
      </c>
      <c r="DN12" s="102">
        <v>0.18682062647062914</v>
      </c>
      <c r="DO12" s="102">
        <v>-0.3641321242359794</v>
      </c>
      <c r="DP12" s="102">
        <v>-0.47892342123784104</v>
      </c>
      <c r="DQ12" s="102">
        <v>-0.59367512553517443</v>
      </c>
      <c r="DR12" s="102">
        <v>-0.70838715794256935</v>
      </c>
      <c r="DS12" s="102">
        <v>-1.2891737194371675</v>
      </c>
      <c r="DT12" s="102">
        <v>-1.3898277537902342</v>
      </c>
      <c r="DU12" s="102">
        <v>-1.4903218279067794</v>
      </c>
      <c r="DV12" s="102">
        <v>-1.5906553019458567</v>
      </c>
      <c r="DW12" s="102">
        <v>-2.2038085219654775</v>
      </c>
      <c r="DX12" s="102">
        <v>-2.2897095600151189</v>
      </c>
      <c r="DY12" s="102">
        <v>-2.375244165826917</v>
      </c>
      <c r="DZ12" s="102">
        <v>-2.4604101408074435</v>
      </c>
      <c r="EA12" s="102">
        <v>-3.1143639207065394</v>
      </c>
      <c r="EB12" s="102">
        <v>-3.1906971769431252</v>
      </c>
      <c r="EC12" s="102">
        <v>-3.2664587564660827</v>
      </c>
      <c r="ED12" s="102">
        <v>-3.3416444288677312</v>
      </c>
      <c r="EE12" s="102">
        <v>-4.0463562007140244</v>
      </c>
      <c r="EF12" s="102">
        <v>-4.1197016374445745</v>
      </c>
      <c r="EG12" s="102">
        <v>-4.2248814237488101</v>
      </c>
      <c r="EH12" s="102">
        <v>-4.3297790857598564</v>
      </c>
    </row>
    <row r="13" spans="1:138">
      <c r="A13" s="107">
        <v>3</v>
      </c>
      <c r="B13" s="50" t="s">
        <v>23</v>
      </c>
      <c r="C13" s="101">
        <v>0</v>
      </c>
      <c r="D13" s="101">
        <v>0</v>
      </c>
      <c r="E13" s="101">
        <v>0</v>
      </c>
      <c r="F13" s="101">
        <v>0</v>
      </c>
      <c r="G13" s="101">
        <v>0</v>
      </c>
      <c r="H13" s="101">
        <v>0</v>
      </c>
      <c r="I13" s="101">
        <v>0</v>
      </c>
      <c r="J13" s="101">
        <v>0</v>
      </c>
      <c r="K13" s="89">
        <v>0.15</v>
      </c>
      <c r="L13" s="89">
        <v>0.152181818181818</v>
      </c>
      <c r="M13" s="89">
        <v>0.1543636363636362</v>
      </c>
      <c r="N13" s="89">
        <v>0.1565454545454544</v>
      </c>
      <c r="O13" s="89">
        <v>0.16361462528465051</v>
      </c>
      <c r="P13" s="89">
        <v>0.16586362357035017</v>
      </c>
      <c r="Q13" s="89">
        <v>0.1681126218560498</v>
      </c>
      <c r="R13" s="89">
        <v>0.17036162014174949</v>
      </c>
      <c r="S13" s="89">
        <v>0.17792545142940885</v>
      </c>
      <c r="T13" s="89">
        <v>0.18024369835357051</v>
      </c>
      <c r="U13" s="89">
        <v>0.18256194527773226</v>
      </c>
      <c r="V13" s="89">
        <v>0.18488019220189394</v>
      </c>
      <c r="W13" s="89">
        <v>0.18488019220189394</v>
      </c>
      <c r="X13" s="89">
        <v>0.18488019220189394</v>
      </c>
      <c r="Y13" s="89">
        <v>0.18488019220189394</v>
      </c>
      <c r="Z13" s="89">
        <v>0.18488019220189394</v>
      </c>
      <c r="AA13" s="89">
        <v>0.18488019220189394</v>
      </c>
      <c r="AB13" s="89">
        <v>0.18488019220189394</v>
      </c>
      <c r="AC13" s="89">
        <v>0.18488019220189394</v>
      </c>
      <c r="AD13" s="89">
        <v>0.18488019220189394</v>
      </c>
      <c r="AE13" s="89">
        <v>0.18488019220189394</v>
      </c>
      <c r="AF13" s="89">
        <v>0.18488019220189394</v>
      </c>
      <c r="AG13" s="89">
        <v>0.18488019220189394</v>
      </c>
      <c r="AH13" s="89">
        <v>0.18488019220189394</v>
      </c>
      <c r="AI13" s="89">
        <v>0.18488019220189394</v>
      </c>
      <c r="AJ13" s="89">
        <v>0.18488019220189394</v>
      </c>
      <c r="AK13" s="89">
        <v>0.18488019220189394</v>
      </c>
      <c r="AL13" s="89">
        <v>0.18553288822705433</v>
      </c>
      <c r="AM13" s="89">
        <v>0.18553288822705433</v>
      </c>
      <c r="AN13" s="89">
        <v>0.18553288822705433</v>
      </c>
      <c r="AO13" s="89">
        <v>0.18553288822705433</v>
      </c>
      <c r="AP13" s="89">
        <v>0.18553288822705433</v>
      </c>
      <c r="AQ13" s="20"/>
      <c r="AR13" s="20"/>
      <c r="AS13" s="20"/>
      <c r="AT13" s="20"/>
      <c r="AW13" s="107">
        <v>3</v>
      </c>
      <c r="AX13" s="50" t="s">
        <v>24</v>
      </c>
      <c r="AY13" s="84"/>
      <c r="AZ13" s="84"/>
      <c r="BA13" s="84"/>
      <c r="BB13" s="84"/>
      <c r="BC13" s="84"/>
      <c r="BD13" s="84"/>
      <c r="BE13" s="84"/>
      <c r="BF13" s="84"/>
      <c r="BG13" s="84">
        <v>8.0000000000000002E-3</v>
      </c>
      <c r="BH13" s="84">
        <v>8.0000000000000002E-3</v>
      </c>
      <c r="BI13" s="84">
        <v>8.0000000000000002E-3</v>
      </c>
      <c r="BJ13" s="84">
        <v>8.0000000000000002E-3</v>
      </c>
      <c r="BK13" s="84">
        <v>8.0000000000000002E-3</v>
      </c>
      <c r="BL13" s="84">
        <v>8.0000000000000002E-3</v>
      </c>
      <c r="BM13" s="84">
        <v>8.0000000000000002E-3</v>
      </c>
      <c r="BN13" s="84">
        <v>8.0000000000000002E-3</v>
      </c>
      <c r="BO13" s="84">
        <v>8.0000000000000002E-3</v>
      </c>
      <c r="BP13" s="84">
        <v>8.0000000000000002E-3</v>
      </c>
      <c r="BQ13" s="84">
        <v>8.0000000000000002E-3</v>
      </c>
      <c r="BR13" s="84">
        <v>8.0000000000000002E-3</v>
      </c>
      <c r="BS13" s="84">
        <v>8.0000000000000002E-3</v>
      </c>
      <c r="BT13" s="84">
        <v>8.0000000000000002E-3</v>
      </c>
      <c r="BU13" s="84">
        <v>8.0000000000000002E-3</v>
      </c>
      <c r="BV13" s="84">
        <v>8.0000000000000002E-3</v>
      </c>
      <c r="BW13" s="84">
        <v>8.0000000000000002E-3</v>
      </c>
      <c r="BX13" s="84">
        <v>8.0000000000000002E-3</v>
      </c>
      <c r="BY13" s="84">
        <v>8.0000000000000002E-3</v>
      </c>
      <c r="BZ13" s="84">
        <v>8.0000000000000002E-3</v>
      </c>
      <c r="CA13" s="84">
        <v>8.0000000000000002E-3</v>
      </c>
      <c r="CB13" s="84">
        <v>8.0000000000000002E-3</v>
      </c>
      <c r="CC13" s="84">
        <v>8.0000000000000002E-3</v>
      </c>
      <c r="CD13" s="84">
        <v>8.0000000000000002E-3</v>
      </c>
      <c r="CE13" s="84">
        <v>8.0000000000000002E-3</v>
      </c>
      <c r="CF13" s="84">
        <v>8.0000000000000002E-3</v>
      </c>
      <c r="CG13" s="84">
        <v>8.0000000000000002E-3</v>
      </c>
      <c r="CH13" s="84">
        <v>8.0000000000000002E-3</v>
      </c>
      <c r="CI13" s="84">
        <v>8.0000000000000002E-3</v>
      </c>
      <c r="CJ13" s="84">
        <v>8.0000000000000002E-3</v>
      </c>
      <c r="CK13" s="84">
        <v>8.0000000000000002E-3</v>
      </c>
      <c r="CL13" s="84">
        <v>8.0000000000000002E-3</v>
      </c>
      <c r="CM13" s="84">
        <v>8.0000000000000002E-3</v>
      </c>
      <c r="CN13" s="84">
        <v>8.0000000000000002E-3</v>
      </c>
      <c r="CO13" s="84">
        <v>8.0000000000000002E-3</v>
      </c>
      <c r="CP13" s="84">
        <v>8.0000000000000002E-3</v>
      </c>
      <c r="CU13" s="102">
        <v>0</v>
      </c>
      <c r="CV13" s="102">
        <v>0</v>
      </c>
      <c r="CW13" s="102">
        <v>0</v>
      </c>
      <c r="CX13" s="102">
        <v>0</v>
      </c>
      <c r="CY13" s="102">
        <v>0</v>
      </c>
      <c r="CZ13" s="102">
        <v>0</v>
      </c>
      <c r="DA13" s="102">
        <v>0</v>
      </c>
      <c r="DB13" s="102">
        <v>0</v>
      </c>
      <c r="DC13" s="102">
        <v>-1.4408522228621532</v>
      </c>
      <c r="DD13" s="102">
        <v>-1.4618100733765118</v>
      </c>
      <c r="DE13" s="102">
        <v>-1.4827679238908704</v>
      </c>
      <c r="DF13" s="102">
        <v>-1.503725774405229</v>
      </c>
      <c r="DG13" s="102">
        <v>-1.530053027840566</v>
      </c>
      <c r="DH13" s="102">
        <v>-1.5510846845806423</v>
      </c>
      <c r="DI13" s="102">
        <v>-1.5721163413207169</v>
      </c>
      <c r="DJ13" s="102">
        <v>-1.593147998060795</v>
      </c>
      <c r="DK13" s="102">
        <v>-1.6167632634572868</v>
      </c>
      <c r="DL13" s="102">
        <v>-1.6378285828508687</v>
      </c>
      <c r="DM13" s="102">
        <v>-1.6588939022444489</v>
      </c>
      <c r="DN13" s="102">
        <v>-1.6799592216380272</v>
      </c>
      <c r="DO13" s="102">
        <v>-2.6351948807155026</v>
      </c>
      <c r="DP13" s="102">
        <v>-2.826879632639363</v>
      </c>
      <c r="DQ13" s="102">
        <v>-3.0185031163517184</v>
      </c>
      <c r="DR13" s="102">
        <v>-3.2100652093161415</v>
      </c>
      <c r="DS13" s="102">
        <v>-4.2186160539756905</v>
      </c>
      <c r="DT13" s="102">
        <v>-4.3890561575379134</v>
      </c>
      <c r="DU13" s="102">
        <v>-4.5592487286892904</v>
      </c>
      <c r="DV13" s="102">
        <v>-4.7291927773001863</v>
      </c>
      <c r="DW13" s="102">
        <v>-5.795413777186134</v>
      </c>
      <c r="DX13" s="102">
        <v>-5.7543817459159889</v>
      </c>
      <c r="DY13" s="102">
        <v>-5.6593080363914847</v>
      </c>
      <c r="DZ13" s="102">
        <v>-5.5636638846098343</v>
      </c>
      <c r="EA13" s="102">
        <v>-5.4449949973559484</v>
      </c>
      <c r="EB13" s="102">
        <v>-5.3254479603363833</v>
      </c>
      <c r="EC13" s="102">
        <v>-5.2050162752428761</v>
      </c>
      <c r="ED13" s="102">
        <v>-5.0836933956796742</v>
      </c>
      <c r="EE13" s="102">
        <v>-4.9499113121846783</v>
      </c>
      <c r="EF13" s="102">
        <v>-4.8150455938133732</v>
      </c>
      <c r="EG13" s="102">
        <v>-4.7294423263418182</v>
      </c>
      <c r="EH13" s="102">
        <v>-4.6434024822061595</v>
      </c>
    </row>
    <row r="14" spans="1:138">
      <c r="A14" s="108"/>
      <c r="B14" s="50" t="s">
        <v>24</v>
      </c>
      <c r="C14" s="101">
        <v>0</v>
      </c>
      <c r="D14" s="101">
        <v>0</v>
      </c>
      <c r="E14" s="101">
        <v>0</v>
      </c>
      <c r="F14" s="101">
        <v>0</v>
      </c>
      <c r="G14" s="101">
        <v>0</v>
      </c>
      <c r="H14" s="101">
        <v>0</v>
      </c>
      <c r="I14" s="101">
        <v>0</v>
      </c>
      <c r="J14" s="101">
        <v>0</v>
      </c>
      <c r="K14" s="89">
        <v>0.4</v>
      </c>
      <c r="L14" s="89">
        <v>0.40457142857142869</v>
      </c>
      <c r="M14" s="89">
        <v>0.40914285714285714</v>
      </c>
      <c r="N14" s="89">
        <v>0.41371428571428598</v>
      </c>
      <c r="O14" s="89">
        <v>0.43116509991556456</v>
      </c>
      <c r="P14" s="89">
        <v>0.43587728679988752</v>
      </c>
      <c r="Q14" s="89">
        <v>0.44058947368421075</v>
      </c>
      <c r="R14" s="89">
        <v>0.44530166056853371</v>
      </c>
      <c r="S14" s="89">
        <v>0.46387017025368527</v>
      </c>
      <c r="T14" s="89">
        <v>0.46872744952335743</v>
      </c>
      <c r="U14" s="89">
        <v>0.47358472879302937</v>
      </c>
      <c r="V14" s="89">
        <v>0.47844200806270148</v>
      </c>
      <c r="W14" s="89">
        <v>0.47844200806270148</v>
      </c>
      <c r="X14" s="89">
        <v>0.47844200806270148</v>
      </c>
      <c r="Y14" s="89">
        <v>0.47844200806270148</v>
      </c>
      <c r="Z14" s="89">
        <v>0.47844200806270148</v>
      </c>
      <c r="AA14" s="89">
        <v>0.47844200806270148</v>
      </c>
      <c r="AB14" s="89">
        <v>0.47844200806270148</v>
      </c>
      <c r="AC14" s="89">
        <v>0.47844200806270148</v>
      </c>
      <c r="AD14" s="89">
        <v>0.47844200806270148</v>
      </c>
      <c r="AE14" s="89">
        <v>0.47844200806270148</v>
      </c>
      <c r="AF14" s="89">
        <v>0.47844200806270148</v>
      </c>
      <c r="AG14" s="89">
        <v>0.47844200806270148</v>
      </c>
      <c r="AH14" s="89">
        <v>0.47844200806270148</v>
      </c>
      <c r="AI14" s="89">
        <v>0.47844200806270148</v>
      </c>
      <c r="AJ14" s="89">
        <v>0.47844200806270148</v>
      </c>
      <c r="AK14" s="89">
        <v>0.47844200806270148</v>
      </c>
      <c r="AL14" s="89">
        <v>0.48013108677477467</v>
      </c>
      <c r="AM14" s="89">
        <v>0.48013108677477467</v>
      </c>
      <c r="AN14" s="89">
        <v>0.48013108677477467</v>
      </c>
      <c r="AO14" s="89">
        <v>0.48013108677477467</v>
      </c>
      <c r="AP14" s="89">
        <v>0.48013108677477467</v>
      </c>
      <c r="AQ14" s="20"/>
      <c r="AR14" s="20"/>
      <c r="AS14" s="20"/>
      <c r="AT14" s="20"/>
      <c r="AW14" s="108"/>
      <c r="AX14" s="50" t="s">
        <v>25</v>
      </c>
      <c r="AY14" s="84"/>
      <c r="AZ14" s="84"/>
      <c r="BA14" s="84"/>
      <c r="BB14" s="84"/>
      <c r="BC14" s="84"/>
      <c r="BD14" s="84"/>
      <c r="BE14" s="84"/>
      <c r="BF14" s="84"/>
      <c r="BG14" s="84">
        <v>8.0000000000000002E-3</v>
      </c>
      <c r="BH14" s="84">
        <v>8.0000000000000002E-3</v>
      </c>
      <c r="BI14" s="84">
        <v>8.0000000000000002E-3</v>
      </c>
      <c r="BJ14" s="84">
        <v>8.0000000000000002E-3</v>
      </c>
      <c r="BK14" s="84">
        <v>8.0000000000000002E-3</v>
      </c>
      <c r="BL14" s="84">
        <v>8.0000000000000002E-3</v>
      </c>
      <c r="BM14" s="84">
        <v>8.0000000000000002E-3</v>
      </c>
      <c r="BN14" s="84">
        <v>8.0000000000000002E-3</v>
      </c>
      <c r="BO14" s="84">
        <v>8.0000000000000002E-3</v>
      </c>
      <c r="BP14" s="84">
        <v>8.0000000000000002E-3</v>
      </c>
      <c r="BQ14" s="84">
        <v>8.0000000000000002E-3</v>
      </c>
      <c r="BR14" s="84">
        <v>8.0000000000000002E-3</v>
      </c>
      <c r="BS14" s="84">
        <v>8.0000000000000002E-3</v>
      </c>
      <c r="BT14" s="84">
        <v>8.0000000000000002E-3</v>
      </c>
      <c r="BU14" s="84">
        <v>8.0000000000000002E-3</v>
      </c>
      <c r="BV14" s="84">
        <v>8.0000000000000002E-3</v>
      </c>
      <c r="BW14" s="84">
        <v>8.0000000000000002E-3</v>
      </c>
      <c r="BX14" s="84">
        <v>8.0000000000000002E-3</v>
      </c>
      <c r="BY14" s="84">
        <v>8.0000000000000002E-3</v>
      </c>
      <c r="BZ14" s="84">
        <v>8.0000000000000002E-3</v>
      </c>
      <c r="CA14" s="84">
        <v>8.0000000000000002E-3</v>
      </c>
      <c r="CB14" s="84">
        <v>8.0000000000000002E-3</v>
      </c>
      <c r="CC14" s="84">
        <v>8.0000000000000002E-3</v>
      </c>
      <c r="CD14" s="84">
        <v>8.0000000000000002E-3</v>
      </c>
      <c r="CE14" s="84">
        <v>8.0000000000000002E-3</v>
      </c>
      <c r="CF14" s="84">
        <v>8.0000000000000002E-3</v>
      </c>
      <c r="CG14" s="84">
        <v>8.0000000000000002E-3</v>
      </c>
      <c r="CH14" s="84">
        <v>8.0000000000000002E-3</v>
      </c>
      <c r="CI14" s="84">
        <v>8.0000000000000002E-3</v>
      </c>
      <c r="CJ14" s="84">
        <v>8.0000000000000002E-3</v>
      </c>
      <c r="CK14" s="84">
        <v>8.0000000000000002E-3</v>
      </c>
      <c r="CL14" s="84">
        <v>8.0000000000000002E-3</v>
      </c>
      <c r="CM14" s="84">
        <v>8.0000000000000002E-3</v>
      </c>
      <c r="CN14" s="84">
        <v>8.0000000000000002E-3</v>
      </c>
      <c r="CO14" s="84">
        <v>8.0000000000000002E-3</v>
      </c>
      <c r="CP14" s="84">
        <v>8.0000000000000002E-3</v>
      </c>
      <c r="CU14" s="102">
        <v>0</v>
      </c>
      <c r="CV14" s="102">
        <v>0</v>
      </c>
      <c r="CW14" s="102">
        <v>0</v>
      </c>
      <c r="CX14" s="102">
        <v>0</v>
      </c>
      <c r="CY14" s="102">
        <v>0</v>
      </c>
      <c r="CZ14" s="102">
        <v>0</v>
      </c>
      <c r="DA14" s="102">
        <v>0</v>
      </c>
      <c r="DB14" s="102">
        <v>0</v>
      </c>
      <c r="DC14" s="102">
        <v>-2.2759378907148946</v>
      </c>
      <c r="DD14" s="102">
        <v>-2.3019486094659207</v>
      </c>
      <c r="DE14" s="102">
        <v>-2.3279593282169486</v>
      </c>
      <c r="DF14" s="102">
        <v>-2.3539700469679747</v>
      </c>
      <c r="DG14" s="102">
        <v>-2.4322330519549507</v>
      </c>
      <c r="DH14" s="102">
        <v>-2.4588148339435314</v>
      </c>
      <c r="DI14" s="102">
        <v>-2.4853966159321086</v>
      </c>
      <c r="DJ14" s="102">
        <v>-2.5119783979206876</v>
      </c>
      <c r="DK14" s="102">
        <v>-2.5926886371264786</v>
      </c>
      <c r="DL14" s="102">
        <v>-2.6198372092429842</v>
      </c>
      <c r="DM14" s="102">
        <v>-2.6469857813594935</v>
      </c>
      <c r="DN14" s="102">
        <v>-2.6741343534760009</v>
      </c>
      <c r="DO14" s="102">
        <v>-3.5207744434551529</v>
      </c>
      <c r="DP14" s="102">
        <v>-3.5779294543100715</v>
      </c>
      <c r="DQ14" s="102">
        <v>-3.5517873318446007</v>
      </c>
      <c r="DR14" s="102">
        <v>-3.5255929251341982</v>
      </c>
      <c r="DS14" s="102">
        <v>-4.2223039150036072</v>
      </c>
      <c r="DT14" s="102">
        <v>-4.1696003495917697</v>
      </c>
      <c r="DU14" s="102">
        <v>-4.1166859699182847</v>
      </c>
      <c r="DV14" s="102">
        <v>-4.0635599327261058</v>
      </c>
      <c r="DW14" s="102">
        <v>-4.7664709077730105</v>
      </c>
      <c r="DX14" s="102">
        <v>-4.685983048889522</v>
      </c>
      <c r="DY14" s="102">
        <v>-4.6050122628527319</v>
      </c>
      <c r="DZ14" s="102">
        <v>-4.5235556520997218</v>
      </c>
      <c r="EA14" s="102">
        <v>-5.2406398523940556</v>
      </c>
      <c r="EB14" s="102">
        <v>-5.1388260323142951</v>
      </c>
      <c r="EC14" s="102">
        <v>-5.0362587899659452</v>
      </c>
      <c r="ED14" s="102">
        <v>-4.9329325500242174</v>
      </c>
      <c r="EE14" s="102">
        <v>-5.6739621521980546</v>
      </c>
      <c r="EF14" s="102">
        <v>-5.559101973915789</v>
      </c>
      <c r="EG14" s="102">
        <v>-5.486196815495493</v>
      </c>
      <c r="EH14" s="102">
        <v>-5.4129198407672536</v>
      </c>
    </row>
    <row r="15" spans="1:138">
      <c r="A15" s="108"/>
      <c r="B15" s="50" t="s">
        <v>25</v>
      </c>
      <c r="C15" s="101">
        <v>0</v>
      </c>
      <c r="D15" s="101">
        <v>0</v>
      </c>
      <c r="E15" s="101">
        <v>0</v>
      </c>
      <c r="F15" s="101">
        <v>0</v>
      </c>
      <c r="G15" s="101">
        <v>0</v>
      </c>
      <c r="H15" s="101">
        <v>0</v>
      </c>
      <c r="I15" s="101">
        <v>0</v>
      </c>
      <c r="J15" s="101">
        <v>0</v>
      </c>
      <c r="K15" s="89">
        <v>0.4</v>
      </c>
      <c r="L15" s="89">
        <v>0.40457142857142853</v>
      </c>
      <c r="M15" s="89">
        <v>0.40914285714285709</v>
      </c>
      <c r="N15" s="89">
        <v>0.41371428571428565</v>
      </c>
      <c r="O15" s="89">
        <v>0.43116509991556434</v>
      </c>
      <c r="P15" s="89">
        <v>0.43587728679988741</v>
      </c>
      <c r="Q15" s="89">
        <v>0.44058947368421053</v>
      </c>
      <c r="R15" s="89">
        <v>0.44530166056853371</v>
      </c>
      <c r="S15" s="89">
        <v>0.46387017025368499</v>
      </c>
      <c r="T15" s="89">
        <v>0.46872744952335715</v>
      </c>
      <c r="U15" s="89">
        <v>0.47358472879302921</v>
      </c>
      <c r="V15" s="89">
        <v>0.47844200806270137</v>
      </c>
      <c r="W15" s="89">
        <v>0.47844200806270137</v>
      </c>
      <c r="X15" s="89">
        <v>0.47844200806270137</v>
      </c>
      <c r="Y15" s="89">
        <v>0.47844200806270137</v>
      </c>
      <c r="Z15" s="89">
        <v>0.47844200806270137</v>
      </c>
      <c r="AA15" s="89">
        <v>0.47844200806270137</v>
      </c>
      <c r="AB15" s="89">
        <v>0.47844200806270137</v>
      </c>
      <c r="AC15" s="89">
        <v>0.47844200806270137</v>
      </c>
      <c r="AD15" s="89">
        <v>0.47844200806270137</v>
      </c>
      <c r="AE15" s="89">
        <v>0.47844200806270137</v>
      </c>
      <c r="AF15" s="89">
        <v>0.47844200806270137</v>
      </c>
      <c r="AG15" s="89">
        <v>0.47844200806270137</v>
      </c>
      <c r="AH15" s="89">
        <v>0.47844200806270137</v>
      </c>
      <c r="AI15" s="89">
        <v>0.47844200806270137</v>
      </c>
      <c r="AJ15" s="89">
        <v>0.47844200806270137</v>
      </c>
      <c r="AK15" s="89">
        <v>0.47844200806270137</v>
      </c>
      <c r="AL15" s="89">
        <v>0.48013108677477451</v>
      </c>
      <c r="AM15" s="89">
        <v>0.48013108677477451</v>
      </c>
      <c r="AN15" s="89">
        <v>0.48013108677477451</v>
      </c>
      <c r="AO15" s="89">
        <v>0.48013108677477451</v>
      </c>
      <c r="AP15" s="89">
        <v>0.48013108677477451</v>
      </c>
      <c r="AQ15" s="20"/>
      <c r="AR15" s="20"/>
      <c r="AS15" s="20"/>
      <c r="AT15" s="20"/>
      <c r="AW15" s="108"/>
      <c r="AX15" s="50" t="s">
        <v>26</v>
      </c>
      <c r="AY15" s="84"/>
      <c r="AZ15" s="84"/>
      <c r="BA15" s="84"/>
      <c r="BB15" s="84"/>
      <c r="BC15" s="84"/>
      <c r="BD15" s="84"/>
      <c r="BE15" s="84"/>
      <c r="BF15" s="84"/>
      <c r="BG15" s="84">
        <v>8.0000000000000002E-3</v>
      </c>
      <c r="BH15" s="84">
        <v>8.0000000000000002E-3</v>
      </c>
      <c r="BI15" s="84">
        <v>8.0000000000000002E-3</v>
      </c>
      <c r="BJ15" s="84">
        <v>8.0000000000000002E-3</v>
      </c>
      <c r="BK15" s="84">
        <v>8.0000000000000002E-3</v>
      </c>
      <c r="BL15" s="84">
        <v>8.0000000000000002E-3</v>
      </c>
      <c r="BM15" s="84">
        <v>8.0000000000000002E-3</v>
      </c>
      <c r="BN15" s="84">
        <v>8.0000000000000002E-3</v>
      </c>
      <c r="BO15" s="84">
        <v>8.0000000000000002E-3</v>
      </c>
      <c r="BP15" s="84">
        <v>8.0000000000000002E-3</v>
      </c>
      <c r="BQ15" s="84">
        <v>8.0000000000000002E-3</v>
      </c>
      <c r="BR15" s="84">
        <v>8.0000000000000002E-3</v>
      </c>
      <c r="BS15" s="84">
        <v>8.0000000000000002E-3</v>
      </c>
      <c r="BT15" s="84">
        <v>8.0000000000000002E-3</v>
      </c>
      <c r="BU15" s="84">
        <v>8.0000000000000002E-3</v>
      </c>
      <c r="BV15" s="84">
        <v>8.0000000000000002E-3</v>
      </c>
      <c r="BW15" s="84">
        <v>8.0000000000000002E-3</v>
      </c>
      <c r="BX15" s="84">
        <v>8.0000000000000002E-3</v>
      </c>
      <c r="BY15" s="84">
        <v>8.0000000000000002E-3</v>
      </c>
      <c r="BZ15" s="84">
        <v>8.0000000000000002E-3</v>
      </c>
      <c r="CA15" s="84">
        <v>8.0000000000000002E-3</v>
      </c>
      <c r="CB15" s="84">
        <v>8.0000000000000002E-3</v>
      </c>
      <c r="CC15" s="84">
        <v>8.0000000000000002E-3</v>
      </c>
      <c r="CD15" s="84">
        <v>8.0000000000000002E-3</v>
      </c>
      <c r="CE15" s="84">
        <v>8.0000000000000002E-3</v>
      </c>
      <c r="CF15" s="84">
        <v>8.0000000000000002E-3</v>
      </c>
      <c r="CG15" s="84">
        <v>8.0000000000000002E-3</v>
      </c>
      <c r="CH15" s="84">
        <v>8.0000000000000002E-3</v>
      </c>
      <c r="CI15" s="84">
        <v>8.0000000000000002E-3</v>
      </c>
      <c r="CJ15" s="84">
        <v>8.0000000000000002E-3</v>
      </c>
      <c r="CK15" s="84">
        <v>8.0000000000000002E-3</v>
      </c>
      <c r="CL15" s="84">
        <v>8.0000000000000002E-3</v>
      </c>
      <c r="CM15" s="84">
        <v>8.0000000000000002E-3</v>
      </c>
      <c r="CN15" s="84">
        <v>8.0000000000000002E-3</v>
      </c>
      <c r="CO15" s="84">
        <v>8.0000000000000002E-3</v>
      </c>
      <c r="CP15" s="84">
        <v>8.0000000000000002E-3</v>
      </c>
      <c r="CU15" s="102">
        <v>0</v>
      </c>
      <c r="CV15" s="102">
        <v>0</v>
      </c>
      <c r="CW15" s="102">
        <v>0</v>
      </c>
      <c r="CX15" s="102">
        <v>0</v>
      </c>
      <c r="CY15" s="102">
        <v>0</v>
      </c>
      <c r="CZ15" s="102">
        <v>0</v>
      </c>
      <c r="DA15" s="102">
        <v>0</v>
      </c>
      <c r="DB15" s="102">
        <v>0</v>
      </c>
      <c r="DC15" s="102">
        <v>-2.3625951281121544</v>
      </c>
      <c r="DD15" s="102">
        <v>-2.3895962152905774</v>
      </c>
      <c r="DE15" s="102">
        <v>-2.4165973024690039</v>
      </c>
      <c r="DF15" s="102">
        <v>-2.4435983896474287</v>
      </c>
      <c r="DG15" s="102">
        <v>-2.5257839740171431</v>
      </c>
      <c r="DH15" s="102">
        <v>-2.5533881704544896</v>
      </c>
      <c r="DI15" s="102">
        <v>-2.5809923668918362</v>
      </c>
      <c r="DJ15" s="102">
        <v>-2.6085965633291792</v>
      </c>
      <c r="DK15" s="102">
        <v>-2.6934675441376026</v>
      </c>
      <c r="DL15" s="102">
        <v>-2.7216713927673126</v>
      </c>
      <c r="DM15" s="102">
        <v>-2.7498752413970262</v>
      </c>
      <c r="DN15" s="102">
        <v>-2.7780790900267416</v>
      </c>
      <c r="DO15" s="102">
        <v>-3.6450777717849174</v>
      </c>
      <c r="DP15" s="102">
        <v>-3.7036817117388399</v>
      </c>
      <c r="DQ15" s="102">
        <v>-3.6769935373481282</v>
      </c>
      <c r="DR15" s="102">
        <v>-3.6502519866086356</v>
      </c>
      <c r="DS15" s="102">
        <v>-4.3638115197459566</v>
      </c>
      <c r="DT15" s="102">
        <v>-4.3100070917932847</v>
      </c>
      <c r="DU15" s="102">
        <v>-4.2559874461288025</v>
      </c>
      <c r="DV15" s="102">
        <v>-4.2017517218816618</v>
      </c>
      <c r="DW15" s="102">
        <v>-4.9217440540215946</v>
      </c>
      <c r="DX15" s="102">
        <v>-4.8395749793011031</v>
      </c>
      <c r="DY15" s="102">
        <v>-4.7569128901322895</v>
      </c>
      <c r="DZ15" s="102">
        <v>-4.6737548284284625</v>
      </c>
      <c r="EA15" s="102">
        <v>-5.4083243921717905</v>
      </c>
      <c r="EB15" s="102">
        <v>-5.3043839034351876</v>
      </c>
      <c r="EC15" s="102">
        <v>-5.1996742550819341</v>
      </c>
      <c r="ED15" s="102">
        <v>-5.0941897553308664</v>
      </c>
      <c r="EE15" s="102">
        <v>-5.8533177049040592</v>
      </c>
      <c r="EF15" s="102">
        <v>-5.73605834799476</v>
      </c>
      <c r="EG15" s="102">
        <v>-5.6616303598131097</v>
      </c>
      <c r="EH15" s="102">
        <v>-5.5868227888917339</v>
      </c>
    </row>
    <row r="16" spans="1:138">
      <c r="A16" s="109"/>
      <c r="B16" s="50" t="s">
        <v>27</v>
      </c>
      <c r="C16" s="101">
        <v>0</v>
      </c>
      <c r="D16" s="101">
        <v>0</v>
      </c>
      <c r="E16" s="101">
        <v>0</v>
      </c>
      <c r="F16" s="101">
        <v>0</v>
      </c>
      <c r="G16" s="101">
        <v>0</v>
      </c>
      <c r="H16" s="101">
        <v>0</v>
      </c>
      <c r="I16" s="101">
        <v>0</v>
      </c>
      <c r="J16" s="101">
        <v>0</v>
      </c>
      <c r="K16" s="89">
        <v>0.08</v>
      </c>
      <c r="L16" s="89">
        <v>8.1422222222222174E-2</v>
      </c>
      <c r="M16" s="89">
        <v>8.2844444444444387E-2</v>
      </c>
      <c r="N16" s="89">
        <v>8.4266666666666601E-2</v>
      </c>
      <c r="O16" s="89">
        <v>8.8327325265034215E-2</v>
      </c>
      <c r="P16" s="89">
        <v>8.9793338962379191E-2</v>
      </c>
      <c r="Q16" s="89">
        <v>9.1259352659724138E-2</v>
      </c>
      <c r="R16" s="89">
        <v>9.2725366357069114E-2</v>
      </c>
      <c r="S16" s="89">
        <v>9.7091615623778812E-2</v>
      </c>
      <c r="T16" s="89">
        <v>9.8602769174343463E-2</v>
      </c>
      <c r="U16" s="89">
        <v>0.10011392272490811</v>
      </c>
      <c r="V16" s="89">
        <v>0.10162507627547276</v>
      </c>
      <c r="W16" s="89">
        <v>0.10162507627547276</v>
      </c>
      <c r="X16" s="89">
        <v>0.10162507627547276</v>
      </c>
      <c r="Y16" s="89">
        <v>0.10162507627547276</v>
      </c>
      <c r="Z16" s="89">
        <v>0.10162507627547276</v>
      </c>
      <c r="AA16" s="89">
        <v>0.10162507627547276</v>
      </c>
      <c r="AB16" s="89">
        <v>0.10162507627547276</v>
      </c>
      <c r="AC16" s="89">
        <v>0.10162507627547276</v>
      </c>
      <c r="AD16" s="89">
        <v>0.10162507627547276</v>
      </c>
      <c r="AE16" s="89">
        <v>0.10162507627547276</v>
      </c>
      <c r="AF16" s="89">
        <v>0.10162507627547276</v>
      </c>
      <c r="AG16" s="89">
        <v>0.10162507627547276</v>
      </c>
      <c r="AH16" s="89">
        <v>0.10162507627547276</v>
      </c>
      <c r="AI16" s="89">
        <v>0.10162507627547276</v>
      </c>
      <c r="AJ16" s="89">
        <v>0.10162507627547276</v>
      </c>
      <c r="AK16" s="89">
        <v>0.10162507627547276</v>
      </c>
      <c r="AL16" s="89">
        <v>0.10198385069338969</v>
      </c>
      <c r="AM16" s="89">
        <v>0.10198385069338969</v>
      </c>
      <c r="AN16" s="89">
        <v>0.10198385069338969</v>
      </c>
      <c r="AO16" s="89">
        <v>0.10198385069338969</v>
      </c>
      <c r="AP16" s="89">
        <v>0.10198385069338969</v>
      </c>
      <c r="AQ16" s="20"/>
      <c r="AR16" s="20"/>
      <c r="AS16" s="20"/>
      <c r="AT16" s="20"/>
      <c r="AW16" s="109"/>
      <c r="AX16" s="50" t="s">
        <v>28</v>
      </c>
      <c r="AY16" s="84"/>
      <c r="AZ16" s="84"/>
      <c r="BA16" s="84"/>
      <c r="BB16" s="84"/>
      <c r="BC16" s="84"/>
      <c r="BD16" s="84"/>
      <c r="BE16" s="84"/>
      <c r="BF16" s="84"/>
      <c r="BG16" s="84">
        <v>8.0000000000000002E-3</v>
      </c>
      <c r="BH16" s="84">
        <v>8.0000000000000002E-3</v>
      </c>
      <c r="BI16" s="84">
        <v>8.0000000000000002E-3</v>
      </c>
      <c r="BJ16" s="84">
        <v>8.0000000000000002E-3</v>
      </c>
      <c r="BK16" s="84">
        <v>8.0000000000000002E-3</v>
      </c>
      <c r="BL16" s="84">
        <v>8.0000000000000002E-3</v>
      </c>
      <c r="BM16" s="84">
        <v>8.0000000000000002E-3</v>
      </c>
      <c r="BN16" s="84">
        <v>8.0000000000000002E-3</v>
      </c>
      <c r="BO16" s="84">
        <v>8.0000000000000002E-3</v>
      </c>
      <c r="BP16" s="84">
        <v>8.0000000000000002E-3</v>
      </c>
      <c r="BQ16" s="84">
        <v>8.0000000000000002E-3</v>
      </c>
      <c r="BR16" s="84">
        <v>8.0000000000000002E-3</v>
      </c>
      <c r="BS16" s="84">
        <v>8.0000000000000002E-3</v>
      </c>
      <c r="BT16" s="84">
        <v>8.0000000000000002E-3</v>
      </c>
      <c r="BU16" s="84">
        <v>8.0000000000000002E-3</v>
      </c>
      <c r="BV16" s="84">
        <v>8.0000000000000002E-3</v>
      </c>
      <c r="BW16" s="84">
        <v>8.0000000000000002E-3</v>
      </c>
      <c r="BX16" s="84">
        <v>8.0000000000000002E-3</v>
      </c>
      <c r="BY16" s="84">
        <v>8.0000000000000002E-3</v>
      </c>
      <c r="BZ16" s="84">
        <v>8.0000000000000002E-3</v>
      </c>
      <c r="CA16" s="84">
        <v>8.0000000000000002E-3</v>
      </c>
      <c r="CB16" s="84">
        <v>8.0000000000000002E-3</v>
      </c>
      <c r="CC16" s="84">
        <v>8.0000000000000002E-3</v>
      </c>
      <c r="CD16" s="84">
        <v>8.0000000000000002E-3</v>
      </c>
      <c r="CE16" s="84">
        <v>8.0000000000000002E-3</v>
      </c>
      <c r="CF16" s="84">
        <v>8.0000000000000002E-3</v>
      </c>
      <c r="CG16" s="84">
        <v>8.0000000000000002E-3</v>
      </c>
      <c r="CH16" s="84">
        <v>8.0000000000000002E-3</v>
      </c>
      <c r="CI16" s="84">
        <v>8.0000000000000002E-3</v>
      </c>
      <c r="CJ16" s="84">
        <v>8.0000000000000002E-3</v>
      </c>
      <c r="CK16" s="84">
        <v>8.0000000000000002E-3</v>
      </c>
      <c r="CL16" s="84">
        <v>8.0000000000000002E-3</v>
      </c>
      <c r="CM16" s="84">
        <v>8.0000000000000002E-3</v>
      </c>
      <c r="CN16" s="84">
        <v>8.0000000000000002E-3</v>
      </c>
      <c r="CO16" s="84">
        <v>8.0000000000000002E-3</v>
      </c>
      <c r="CP16" s="84">
        <v>8.0000000000000002E-3</v>
      </c>
      <c r="CU16" s="102">
        <v>0</v>
      </c>
      <c r="CV16" s="102">
        <v>0</v>
      </c>
      <c r="CW16" s="102">
        <v>0</v>
      </c>
      <c r="CX16" s="102">
        <v>0</v>
      </c>
      <c r="CY16" s="102">
        <v>0</v>
      </c>
      <c r="CZ16" s="102">
        <v>0</v>
      </c>
      <c r="DA16" s="102">
        <v>0</v>
      </c>
      <c r="DB16" s="102">
        <v>0</v>
      </c>
      <c r="DC16" s="102">
        <v>-0.33958840499999976</v>
      </c>
      <c r="DD16" s="102">
        <v>-0.3456255321999997</v>
      </c>
      <c r="DE16" s="102">
        <v>-0.35166265940000052</v>
      </c>
      <c r="DF16" s="102">
        <v>-0.35769978659999957</v>
      </c>
      <c r="DG16" s="102">
        <v>-0.35455324488999906</v>
      </c>
      <c r="DH16" s="102">
        <v>-0.36043794604999846</v>
      </c>
      <c r="DI16" s="102">
        <v>-0.36632264720999874</v>
      </c>
      <c r="DJ16" s="102">
        <v>-0.37220734836999902</v>
      </c>
      <c r="DK16" s="102">
        <v>-0.36649556381749893</v>
      </c>
      <c r="DL16" s="102">
        <v>-0.37219977492749923</v>
      </c>
      <c r="DM16" s="102">
        <v>-0.37790398603749864</v>
      </c>
      <c r="DN16" s="102">
        <v>-0.38360819714749805</v>
      </c>
      <c r="DO16" s="102">
        <v>-0.77497009394586414</v>
      </c>
      <c r="DP16" s="102">
        <v>-0.86604973231695759</v>
      </c>
      <c r="DQ16" s="102">
        <v>-0.95710416529036646</v>
      </c>
      <c r="DR16" s="102">
        <v>-1.0481333424552979</v>
      </c>
      <c r="DS16" s="102">
        <v>-1.4635559457951484</v>
      </c>
      <c r="DT16" s="102">
        <v>-1.546445627715709</v>
      </c>
      <c r="DU16" s="102">
        <v>-1.6292334761944014</v>
      </c>
      <c r="DV16" s="102">
        <v>-1.7119190838974614</v>
      </c>
      <c r="DW16" s="102">
        <v>-2.1533887200917547</v>
      </c>
      <c r="DX16" s="102">
        <v>-2.227732911992204</v>
      </c>
      <c r="DY16" s="102">
        <v>-2.3018438268182857</v>
      </c>
      <c r="DZ16" s="102">
        <v>-2.3757200649075569</v>
      </c>
      <c r="EA16" s="102">
        <v>-2.8490031584333524</v>
      </c>
      <c r="EB16" s="102">
        <v>-2.9181409506425391</v>
      </c>
      <c r="EC16" s="102">
        <v>-2.9869148036087623</v>
      </c>
      <c r="ED16" s="102">
        <v>-3.055322024181625</v>
      </c>
      <c r="EE16" s="102">
        <v>-3.5671796388272901</v>
      </c>
      <c r="EF16" s="102">
        <v>-3.6353397563646519</v>
      </c>
      <c r="EG16" s="102">
        <v>-3.7237661691837323</v>
      </c>
      <c r="EH16" s="102">
        <v>-3.8120129768182096</v>
      </c>
    </row>
    <row r="17" spans="1:138" ht="15" thickBot="1">
      <c r="A17" s="107">
        <v>4</v>
      </c>
      <c r="B17" s="53" t="s">
        <v>29</v>
      </c>
      <c r="C17" s="101">
        <v>0</v>
      </c>
      <c r="D17" s="101">
        <v>0</v>
      </c>
      <c r="E17" s="101">
        <v>0</v>
      </c>
      <c r="F17" s="101">
        <v>0</v>
      </c>
      <c r="G17" s="101">
        <v>0</v>
      </c>
      <c r="H17" s="101">
        <v>0</v>
      </c>
      <c r="I17" s="101">
        <v>0</v>
      </c>
      <c r="J17" s="101">
        <v>0</v>
      </c>
      <c r="K17" s="101">
        <v>0</v>
      </c>
      <c r="L17" s="101">
        <v>0</v>
      </c>
      <c r="M17" s="101">
        <v>0</v>
      </c>
      <c r="N17" s="101">
        <v>0</v>
      </c>
      <c r="O17" s="89">
        <v>0.3</v>
      </c>
      <c r="P17" s="89">
        <v>0.30351827198589376</v>
      </c>
      <c r="Q17" s="89">
        <v>0.30720846374256111</v>
      </c>
      <c r="R17" s="89">
        <v>0.31089865549922857</v>
      </c>
      <c r="S17" s="89">
        <v>0.32464729697547035</v>
      </c>
      <c r="T17" s="89">
        <v>0.32807913101030456</v>
      </c>
      <c r="U17" s="89">
        <v>0.33188294702201826</v>
      </c>
      <c r="V17" s="89">
        <v>0.33568676303373196</v>
      </c>
      <c r="W17" s="89">
        <v>0.33568676303373196</v>
      </c>
      <c r="X17" s="89">
        <v>0.33568676303373196</v>
      </c>
      <c r="Y17" s="89">
        <v>0.33568676303373196</v>
      </c>
      <c r="Z17" s="89">
        <v>0.33568676303373196</v>
      </c>
      <c r="AA17" s="89">
        <v>0.33568676303373196</v>
      </c>
      <c r="AB17" s="89">
        <v>0.33568676303373196</v>
      </c>
      <c r="AC17" s="89">
        <v>0.33568676303373196</v>
      </c>
      <c r="AD17" s="89">
        <v>0.33568676303373196</v>
      </c>
      <c r="AE17" s="89">
        <v>0.33568676303373196</v>
      </c>
      <c r="AF17" s="89">
        <v>0.33568676303373196</v>
      </c>
      <c r="AG17" s="89">
        <v>0.33568676303373196</v>
      </c>
      <c r="AH17" s="89">
        <v>0.33568676303373196</v>
      </c>
      <c r="AI17" s="89">
        <v>0.33725063345159745</v>
      </c>
      <c r="AJ17" s="89">
        <v>0.33935700568683846</v>
      </c>
      <c r="AK17" s="89">
        <v>0.34186824752892103</v>
      </c>
      <c r="AL17" s="89">
        <f>AK17</f>
        <v>0.34186824752892103</v>
      </c>
      <c r="AM17" s="89">
        <f t="shared" ref="AM17:AP17" si="3">AL17</f>
        <v>0.34186824752892103</v>
      </c>
      <c r="AN17" s="89">
        <f t="shared" si="3"/>
        <v>0.34186824752892103</v>
      </c>
      <c r="AO17" s="89">
        <f t="shared" si="3"/>
        <v>0.34186824752892103</v>
      </c>
      <c r="AP17" s="89">
        <f t="shared" si="3"/>
        <v>0.34126824752892104</v>
      </c>
      <c r="AQ17" s="20"/>
      <c r="AR17" s="20"/>
      <c r="AS17" s="20"/>
      <c r="AT17" s="20"/>
      <c r="AW17" s="107">
        <v>4</v>
      </c>
      <c r="AX17" s="51" t="s">
        <v>30</v>
      </c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>
        <v>8.0000000000000002E-3</v>
      </c>
      <c r="BL17" s="84">
        <v>8.0000000000000002E-3</v>
      </c>
      <c r="BM17" s="84">
        <v>8.0000000000000002E-3</v>
      </c>
      <c r="BN17" s="84">
        <v>8.0000000000000002E-3</v>
      </c>
      <c r="BO17" s="84">
        <v>8.0000000000000002E-3</v>
      </c>
      <c r="BP17" s="84">
        <v>8.0000000000000002E-3</v>
      </c>
      <c r="BQ17" s="84">
        <v>8.0000000000000002E-3</v>
      </c>
      <c r="BR17" s="84">
        <v>8.0000000000000002E-3</v>
      </c>
      <c r="BS17" s="84">
        <v>8.0000000000000002E-3</v>
      </c>
      <c r="BT17" s="84">
        <v>8.0000000000000002E-3</v>
      </c>
      <c r="BU17" s="84">
        <v>8.0000000000000002E-3</v>
      </c>
      <c r="BV17" s="84">
        <v>8.0000000000000002E-3</v>
      </c>
      <c r="BW17" s="84">
        <v>8.0000000000000002E-3</v>
      </c>
      <c r="BX17" s="84">
        <v>8.0000000000000002E-3</v>
      </c>
      <c r="BY17" s="84">
        <v>8.0000000000000002E-3</v>
      </c>
      <c r="BZ17" s="84">
        <v>8.0000000000000002E-3</v>
      </c>
      <c r="CA17" s="84">
        <v>8.0000000000000002E-3</v>
      </c>
      <c r="CB17" s="84">
        <v>8.0000000000000002E-3</v>
      </c>
      <c r="CC17" s="84">
        <v>8.0000000000000002E-3</v>
      </c>
      <c r="CD17" s="84">
        <v>8.0000000000000002E-3</v>
      </c>
      <c r="CE17" s="84">
        <v>8.0000000000000002E-3</v>
      </c>
      <c r="CF17" s="84">
        <v>8.0000000000000002E-3</v>
      </c>
      <c r="CG17" s="84">
        <v>8.0000000000000002E-3</v>
      </c>
      <c r="CH17" s="84">
        <v>8.0000000000000002E-3</v>
      </c>
      <c r="CI17" s="84">
        <v>8.0000000000000002E-3</v>
      </c>
      <c r="CJ17" s="84">
        <v>8.0000000000000002E-3</v>
      </c>
      <c r="CK17" s="84">
        <v>8.0000000000000002E-3</v>
      </c>
      <c r="CL17" s="84">
        <v>8.0000000000000002E-3</v>
      </c>
      <c r="CM17" s="84">
        <v>8.0000000000000002E-3</v>
      </c>
      <c r="CN17" s="84">
        <v>8.0000000000000002E-3</v>
      </c>
      <c r="CO17" s="84">
        <v>8.0000000000000002E-3</v>
      </c>
      <c r="CP17" s="84">
        <v>8.0000000000000002E-3</v>
      </c>
      <c r="CU17" s="102">
        <v>0</v>
      </c>
      <c r="CV17" s="102">
        <v>0</v>
      </c>
      <c r="CW17" s="102">
        <v>0</v>
      </c>
      <c r="CX17" s="102">
        <v>0</v>
      </c>
      <c r="CY17" s="102">
        <v>0</v>
      </c>
      <c r="CZ17" s="102">
        <v>0</v>
      </c>
      <c r="DA17" s="102">
        <v>0</v>
      </c>
      <c r="DB17" s="102">
        <v>0</v>
      </c>
      <c r="DC17" s="102">
        <v>0</v>
      </c>
      <c r="DD17" s="102">
        <v>0</v>
      </c>
      <c r="DE17" s="102">
        <v>0</v>
      </c>
      <c r="DF17" s="102">
        <v>0</v>
      </c>
      <c r="DG17" s="102">
        <v>1.3397966958435772</v>
      </c>
      <c r="DH17" s="102">
        <v>1.3412100879725566</v>
      </c>
      <c r="DI17" s="102">
        <v>1.3426234801015378</v>
      </c>
      <c r="DJ17" s="102">
        <v>1.3440368722305189</v>
      </c>
      <c r="DK17" s="102">
        <v>1.4483690724115643</v>
      </c>
      <c r="DL17" s="102">
        <v>1.4503431175811397</v>
      </c>
      <c r="DM17" s="102">
        <v>1.452317162750715</v>
      </c>
      <c r="DN17" s="102">
        <v>1.4542912079202903</v>
      </c>
      <c r="DO17" s="102">
        <v>1.0166212633596139</v>
      </c>
      <c r="DP17" s="102">
        <v>0.92806645065372884</v>
      </c>
      <c r="DQ17" s="102">
        <v>0.83954855798630135</v>
      </c>
      <c r="DR17" s="102">
        <v>0.75106765919740681</v>
      </c>
      <c r="DS17" s="102">
        <v>0.29232968374455481</v>
      </c>
      <c r="DT17" s="102">
        <v>0.21778975440494897</v>
      </c>
      <c r="DU17" s="102">
        <v>0.14339898734547063</v>
      </c>
      <c r="DV17" s="102">
        <v>6.9157979215241028E-2</v>
      </c>
      <c r="DW17" s="102">
        <v>-0.41255631332534115</v>
      </c>
      <c r="DX17" s="102">
        <v>-0.47246975271629488</v>
      </c>
      <c r="DY17" s="102">
        <v>-0.53204149551253366</v>
      </c>
      <c r="DZ17" s="102">
        <v>-0.59126949153448827</v>
      </c>
      <c r="EA17" s="102">
        <v>-1.1033439462080405</v>
      </c>
      <c r="EB17" s="102">
        <v>-1.1534269653044174</v>
      </c>
      <c r="EC17" s="102">
        <v>-1.2029768981541427</v>
      </c>
      <c r="ED17" s="102">
        <v>-1.2519897999189915</v>
      </c>
      <c r="EE17" s="102">
        <v>-1.8032002730444088</v>
      </c>
      <c r="EF17" s="102">
        <v>-1.8495477777607778</v>
      </c>
      <c r="EG17" s="102">
        <v>-1.9255806860002576</v>
      </c>
      <c r="EH17" s="102">
        <v>-2.001350514465873</v>
      </c>
    </row>
    <row r="18" spans="1:138">
      <c r="A18" s="108"/>
      <c r="B18" s="51" t="s">
        <v>30</v>
      </c>
      <c r="C18" s="101">
        <v>0</v>
      </c>
      <c r="D18" s="101">
        <v>0</v>
      </c>
      <c r="E18" s="101">
        <v>0</v>
      </c>
      <c r="F18" s="101">
        <v>0</v>
      </c>
      <c r="G18" s="101">
        <v>0</v>
      </c>
      <c r="H18" s="101">
        <v>0</v>
      </c>
      <c r="I18" s="101">
        <v>0</v>
      </c>
      <c r="J18" s="101">
        <v>0</v>
      </c>
      <c r="K18" s="101">
        <v>0</v>
      </c>
      <c r="L18" s="101">
        <v>0</v>
      </c>
      <c r="M18" s="101">
        <v>0</v>
      </c>
      <c r="N18" s="101">
        <v>0</v>
      </c>
      <c r="O18" s="89">
        <v>0.2</v>
      </c>
      <c r="P18" s="89">
        <v>0.20255052531041076</v>
      </c>
      <c r="Q18" s="89">
        <v>0.20521566380133718</v>
      </c>
      <c r="R18" s="89">
        <v>0.20788080229226366</v>
      </c>
      <c r="S18" s="89">
        <v>0.2172777934140164</v>
      </c>
      <c r="T18" s="89">
        <v>0.21977603623234576</v>
      </c>
      <c r="U18" s="89">
        <v>0.22252323668525015</v>
      </c>
      <c r="V18" s="89">
        <v>0.22527043713815439</v>
      </c>
      <c r="W18" s="89">
        <v>0.22527043713815439</v>
      </c>
      <c r="X18" s="89">
        <v>0.22527043713815439</v>
      </c>
      <c r="Y18" s="89">
        <v>0.22527043713815439</v>
      </c>
      <c r="Z18" s="89">
        <v>0.22527043713815439</v>
      </c>
      <c r="AA18" s="89">
        <v>0.22527043713815439</v>
      </c>
      <c r="AB18" s="89">
        <v>0.22527043713815439</v>
      </c>
      <c r="AC18" s="89">
        <v>0.22527043713815439</v>
      </c>
      <c r="AD18" s="89">
        <v>0.22527043713815439</v>
      </c>
      <c r="AE18" s="89">
        <v>0.22527043713815439</v>
      </c>
      <c r="AF18" s="89">
        <v>0.22527043713815439</v>
      </c>
      <c r="AG18" s="89">
        <v>0.22527043713815439</v>
      </c>
      <c r="AH18" s="89">
        <v>0.22527043713815439</v>
      </c>
      <c r="AI18" s="89">
        <v>0.22631990888221762</v>
      </c>
      <c r="AJ18" s="89">
        <v>0.22773343913262198</v>
      </c>
      <c r="AK18" s="89">
        <v>0.22941866658220325</v>
      </c>
      <c r="AL18" s="89">
        <f t="shared" ref="AL18:AP20" si="4">AK18</f>
        <v>0.22941866658220325</v>
      </c>
      <c r="AM18" s="89">
        <f t="shared" si="4"/>
        <v>0.22941866658220325</v>
      </c>
      <c r="AN18" s="89">
        <f t="shared" si="4"/>
        <v>0.22941866658220325</v>
      </c>
      <c r="AO18" s="89">
        <f t="shared" si="4"/>
        <v>0.22941866658220325</v>
      </c>
      <c r="AP18" s="89">
        <f t="shared" si="4"/>
        <v>0.22881866658220326</v>
      </c>
      <c r="AQ18" s="20"/>
      <c r="AR18" s="20"/>
      <c r="AS18" s="20"/>
      <c r="AT18" s="20"/>
      <c r="AW18" s="108"/>
      <c r="AX18" s="52" t="s">
        <v>31</v>
      </c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>
        <v>8.0000000000000002E-3</v>
      </c>
      <c r="BL18" s="84">
        <v>8.0000000000000002E-3</v>
      </c>
      <c r="BM18" s="84">
        <v>8.0000000000000002E-3</v>
      </c>
      <c r="BN18" s="84">
        <v>8.0000000000000002E-3</v>
      </c>
      <c r="BO18" s="84">
        <v>8.0000000000000002E-3</v>
      </c>
      <c r="BP18" s="84">
        <v>8.0000000000000002E-3</v>
      </c>
      <c r="BQ18" s="84">
        <v>8.0000000000000002E-3</v>
      </c>
      <c r="BR18" s="84">
        <v>8.0000000000000002E-3</v>
      </c>
      <c r="BS18" s="84">
        <v>8.0000000000000002E-3</v>
      </c>
      <c r="BT18" s="84">
        <v>8.0000000000000002E-3</v>
      </c>
      <c r="BU18" s="84">
        <v>8.0000000000000002E-3</v>
      </c>
      <c r="BV18" s="84">
        <v>8.0000000000000002E-3</v>
      </c>
      <c r="BW18" s="84">
        <v>8.0000000000000002E-3</v>
      </c>
      <c r="BX18" s="84">
        <v>8.0000000000000002E-3</v>
      </c>
      <c r="BY18" s="84">
        <v>8.0000000000000002E-3</v>
      </c>
      <c r="BZ18" s="84">
        <v>8.0000000000000002E-3</v>
      </c>
      <c r="CA18" s="84">
        <v>8.0000000000000002E-3</v>
      </c>
      <c r="CB18" s="84">
        <v>8.0000000000000002E-3</v>
      </c>
      <c r="CC18" s="84">
        <v>8.0000000000000002E-3</v>
      </c>
      <c r="CD18" s="84">
        <v>8.0000000000000002E-3</v>
      </c>
      <c r="CE18" s="84">
        <v>8.0000000000000002E-3</v>
      </c>
      <c r="CF18" s="84">
        <v>8.0000000000000002E-3</v>
      </c>
      <c r="CG18" s="84">
        <v>8.0000000000000002E-3</v>
      </c>
      <c r="CH18" s="84">
        <v>8.0000000000000002E-3</v>
      </c>
      <c r="CI18" s="84">
        <v>8.0000000000000002E-3</v>
      </c>
      <c r="CJ18" s="84">
        <v>8.0000000000000002E-3</v>
      </c>
      <c r="CK18" s="84">
        <v>8.0000000000000002E-3</v>
      </c>
      <c r="CL18" s="84">
        <v>8.0000000000000002E-3</v>
      </c>
      <c r="CM18" s="84">
        <v>8.0000000000000002E-3</v>
      </c>
      <c r="CN18" s="84">
        <v>8.0000000000000002E-3</v>
      </c>
      <c r="CO18" s="84">
        <v>8.0000000000000002E-3</v>
      </c>
      <c r="CP18" s="84">
        <v>8.0000000000000002E-3</v>
      </c>
      <c r="CU18" s="102">
        <v>0</v>
      </c>
      <c r="CV18" s="102">
        <v>0</v>
      </c>
      <c r="CW18" s="102">
        <v>0</v>
      </c>
      <c r="CX18" s="102">
        <v>0</v>
      </c>
      <c r="CY18" s="102">
        <v>0</v>
      </c>
      <c r="CZ18" s="102">
        <v>0</v>
      </c>
      <c r="DA18" s="102">
        <v>0</v>
      </c>
      <c r="DB18" s="102">
        <v>0</v>
      </c>
      <c r="DC18" s="102">
        <v>0</v>
      </c>
      <c r="DD18" s="102">
        <v>0</v>
      </c>
      <c r="DE18" s="102">
        <v>0</v>
      </c>
      <c r="DF18" s="102">
        <v>0</v>
      </c>
      <c r="DG18" s="102">
        <v>1.5764500256333376</v>
      </c>
      <c r="DH18" s="102">
        <v>1.5781241082834709</v>
      </c>
      <c r="DI18" s="102">
        <v>1.5797981909336043</v>
      </c>
      <c r="DJ18" s="102">
        <v>1.5814722735837368</v>
      </c>
      <c r="DK18" s="102">
        <v>1.7008974498403955</v>
      </c>
      <c r="DL18" s="102">
        <v>1.7032355941537851</v>
      </c>
      <c r="DM18" s="102">
        <v>1.7055737384671747</v>
      </c>
      <c r="DN18" s="102">
        <v>1.7079118827805626</v>
      </c>
      <c r="DO18" s="102">
        <v>1.2220854375881398</v>
      </c>
      <c r="DP18" s="102">
        <v>1.1156487930569732</v>
      </c>
      <c r="DQ18" s="102">
        <v>1.0092527812097511</v>
      </c>
      <c r="DR18" s="102">
        <v>0.90289748331184327</v>
      </c>
      <c r="DS18" s="102">
        <v>0.39208207752141355</v>
      </c>
      <c r="DT18" s="102">
        <v>0.30066568246253667</v>
      </c>
      <c r="DU18" s="102">
        <v>0.20941344930701078</v>
      </c>
      <c r="DV18" s="102">
        <v>0.11832603470244507</v>
      </c>
      <c r="DW18" s="102">
        <v>-0.41973233145864697</v>
      </c>
      <c r="DX18" s="102">
        <v>-0.49547354596303705</v>
      </c>
      <c r="DY18" s="102">
        <v>-0.57083870317393881</v>
      </c>
      <c r="DZ18" s="102">
        <v>-0.64582554674758619</v>
      </c>
      <c r="EA18" s="102">
        <v>-1.21941724299006</v>
      </c>
      <c r="EB18" s="102">
        <v>-1.2847806311126302</v>
      </c>
      <c r="EC18" s="102">
        <v>-1.3495573263204506</v>
      </c>
      <c r="ED18" s="102">
        <v>-1.4137429870859517</v>
      </c>
      <c r="EE18" s="102">
        <v>-2.0327011736192873</v>
      </c>
      <c r="EF18" s="102">
        <v>-2.0944143904114352</v>
      </c>
      <c r="EG18" s="102">
        <v>-2.1887981479048495</v>
      </c>
      <c r="EH18" s="102">
        <v>-2.2828923705616226</v>
      </c>
    </row>
    <row r="19" spans="1:138">
      <c r="A19" s="108"/>
      <c r="B19" s="52" t="s">
        <v>31</v>
      </c>
      <c r="C19" s="101">
        <v>0</v>
      </c>
      <c r="D19" s="101">
        <v>0</v>
      </c>
      <c r="E19" s="101">
        <v>0</v>
      </c>
      <c r="F19" s="101">
        <v>0</v>
      </c>
      <c r="G19" s="101">
        <v>0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0</v>
      </c>
      <c r="N19" s="101">
        <v>0</v>
      </c>
      <c r="O19" s="89">
        <v>0.1</v>
      </c>
      <c r="P19" s="89">
        <v>0.10660553963705825</v>
      </c>
      <c r="Q19" s="89">
        <v>0.11326838586437436</v>
      </c>
      <c r="R19" s="89">
        <v>0.11993123209169054</v>
      </c>
      <c r="S19" s="89">
        <v>0.13064171122994656</v>
      </c>
      <c r="T19" s="89">
        <v>0.1373600226452161</v>
      </c>
      <c r="U19" s="89">
        <v>0.1442280237774769</v>
      </c>
      <c r="V19" s="89">
        <v>0.15109602490973775</v>
      </c>
      <c r="W19" s="89">
        <v>0.15109602490973775</v>
      </c>
      <c r="X19" s="89">
        <v>0.15109602490973775</v>
      </c>
      <c r="Y19" s="89">
        <v>0.15109602490973775</v>
      </c>
      <c r="Z19" s="89">
        <v>0.15109602490973775</v>
      </c>
      <c r="AA19" s="89">
        <v>0.15109602490973775</v>
      </c>
      <c r="AB19" s="89">
        <v>0.15109602490973775</v>
      </c>
      <c r="AC19" s="89">
        <v>0.15109602490973775</v>
      </c>
      <c r="AD19" s="89">
        <v>0.15109602490973775</v>
      </c>
      <c r="AE19" s="89">
        <v>0.15109602490973775</v>
      </c>
      <c r="AF19" s="89">
        <v>0.15109602490973775</v>
      </c>
      <c r="AG19" s="89">
        <v>0.15109602490973775</v>
      </c>
      <c r="AH19" s="89">
        <v>0.15109602490973775</v>
      </c>
      <c r="AI19" s="89">
        <v>0.15179993888441451</v>
      </c>
      <c r="AJ19" s="89">
        <v>0.15274803844261226</v>
      </c>
      <c r="AK19" s="89">
        <v>0.15387837392708764</v>
      </c>
      <c r="AL19" s="89">
        <f t="shared" si="4"/>
        <v>0.15387837392708764</v>
      </c>
      <c r="AM19" s="89">
        <f t="shared" si="4"/>
        <v>0.15387837392708764</v>
      </c>
      <c r="AN19" s="89">
        <f t="shared" si="4"/>
        <v>0.15387837392708764</v>
      </c>
      <c r="AO19" s="89">
        <f t="shared" si="4"/>
        <v>0.15387837392708764</v>
      </c>
      <c r="AP19" s="89">
        <f t="shared" si="4"/>
        <v>0.15327837392708765</v>
      </c>
      <c r="AQ19" s="20"/>
      <c r="AR19" s="20"/>
      <c r="AS19" s="20"/>
      <c r="AT19" s="20"/>
      <c r="AW19" s="108"/>
      <c r="AX19" s="52" t="s">
        <v>32</v>
      </c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>
        <v>0.01</v>
      </c>
      <c r="BL19" s="84">
        <v>0.01</v>
      </c>
      <c r="BM19" s="84">
        <v>0.01</v>
      </c>
      <c r="BN19" s="84">
        <v>0.01</v>
      </c>
      <c r="BO19" s="84">
        <v>0.01</v>
      </c>
      <c r="BP19" s="84">
        <v>0.01</v>
      </c>
      <c r="BQ19" s="84">
        <v>0.01</v>
      </c>
      <c r="BR19" s="84">
        <v>0.01</v>
      </c>
      <c r="BS19" s="84">
        <v>0.01</v>
      </c>
      <c r="BT19" s="84">
        <v>0.01</v>
      </c>
      <c r="BU19" s="84">
        <v>0.01</v>
      </c>
      <c r="BV19" s="84">
        <v>0.01</v>
      </c>
      <c r="BW19" s="84">
        <v>0.01</v>
      </c>
      <c r="BX19" s="84">
        <v>0.01</v>
      </c>
      <c r="BY19" s="84">
        <v>0.01</v>
      </c>
      <c r="BZ19" s="84">
        <v>0.01</v>
      </c>
      <c r="CA19" s="84">
        <v>0.01</v>
      </c>
      <c r="CB19" s="84">
        <v>0.01</v>
      </c>
      <c r="CC19" s="84">
        <v>0.01</v>
      </c>
      <c r="CD19" s="84">
        <v>0.01</v>
      </c>
      <c r="CE19" s="84">
        <v>0.01</v>
      </c>
      <c r="CF19" s="84">
        <v>0.01</v>
      </c>
      <c r="CG19" s="84">
        <v>0.01</v>
      </c>
      <c r="CH19" s="84">
        <v>0.01</v>
      </c>
      <c r="CI19" s="84">
        <v>0.01</v>
      </c>
      <c r="CJ19" s="84">
        <v>0.01</v>
      </c>
      <c r="CK19" s="84">
        <v>0.01</v>
      </c>
      <c r="CL19" s="84">
        <v>0.01</v>
      </c>
      <c r="CM19" s="84">
        <v>0.01</v>
      </c>
      <c r="CN19" s="84">
        <v>0.01</v>
      </c>
      <c r="CO19" s="84">
        <v>0.01</v>
      </c>
      <c r="CP19" s="84">
        <v>0.01</v>
      </c>
      <c r="CU19" s="102">
        <v>0</v>
      </c>
      <c r="CV19" s="102">
        <v>0</v>
      </c>
      <c r="CW19" s="102">
        <v>0</v>
      </c>
      <c r="CX19" s="102">
        <v>0</v>
      </c>
      <c r="CY19" s="102">
        <v>0</v>
      </c>
      <c r="CZ19" s="102">
        <v>0</v>
      </c>
      <c r="DA19" s="102">
        <v>0</v>
      </c>
      <c r="DB19" s="102">
        <v>0</v>
      </c>
      <c r="DC19" s="102">
        <v>0</v>
      </c>
      <c r="DD19" s="102">
        <v>0</v>
      </c>
      <c r="DE19" s="102">
        <v>0</v>
      </c>
      <c r="DF19" s="102">
        <v>0</v>
      </c>
      <c r="DG19" s="102">
        <v>1.1173522063589911</v>
      </c>
      <c r="DH19" s="102">
        <v>1.1918423534495903</v>
      </c>
      <c r="DI19" s="102">
        <v>1.2663325005401891</v>
      </c>
      <c r="DJ19" s="102">
        <v>1.3408226476307892</v>
      </c>
      <c r="DK19" s="102">
        <v>1.5082794394518748</v>
      </c>
      <c r="DL19" s="102">
        <v>1.5876625678440783</v>
      </c>
      <c r="DM19" s="102">
        <v>1.6670456962362818</v>
      </c>
      <c r="DN19" s="102">
        <v>1.7464288246284863</v>
      </c>
      <c r="DO19" s="102">
        <v>1.2636974718950436</v>
      </c>
      <c r="DP19" s="102">
        <v>1.0227635398389223</v>
      </c>
      <c r="DQ19" s="102">
        <v>0.78185814102350992</v>
      </c>
      <c r="DR19" s="102">
        <v>0.54098133251528857</v>
      </c>
      <c r="DS19" s="102">
        <v>4.4168917061320201E-3</v>
      </c>
      <c r="DT19" s="102">
        <v>-0.23344808365125491</v>
      </c>
      <c r="DU19" s="102">
        <v>-0.4711977806009946</v>
      </c>
      <c r="DV19" s="102">
        <v>-0.7088317380294562</v>
      </c>
      <c r="DW19" s="102">
        <v>-1.3037910671091213</v>
      </c>
      <c r="DX19" s="102">
        <v>-1.5384637154743563</v>
      </c>
      <c r="DY19" s="102">
        <v>-1.7728722874303067</v>
      </c>
      <c r="DZ19" s="102">
        <v>-2.0070151985185118</v>
      </c>
      <c r="EA19" s="102">
        <v>-2.6693647304222665</v>
      </c>
      <c r="EB19" s="102">
        <v>-2.904916662517337</v>
      </c>
      <c r="EC19" s="102">
        <v>-3.1400566048412664</v>
      </c>
      <c r="ED19" s="102">
        <v>-3.3747815086697486</v>
      </c>
      <c r="EE19" s="102">
        <v>-4.1148060579152244</v>
      </c>
      <c r="EF19" s="102">
        <v>-4.3563291015824328</v>
      </c>
      <c r="EG19" s="102">
        <v>-4.6207941788896765</v>
      </c>
      <c r="EH19" s="102">
        <v>-4.8850559379224228</v>
      </c>
    </row>
    <row r="20" spans="1:138" ht="15" thickBot="1">
      <c r="A20" s="109"/>
      <c r="B20" s="52" t="s">
        <v>32</v>
      </c>
      <c r="C20" s="101">
        <v>0</v>
      </c>
      <c r="D20" s="101">
        <v>0</v>
      </c>
      <c r="E20" s="101">
        <v>0</v>
      </c>
      <c r="F20" s="101">
        <v>0</v>
      </c>
      <c r="G20" s="101">
        <v>0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89">
        <v>0.1</v>
      </c>
      <c r="P20" s="89">
        <v>0.10763059290279922</v>
      </c>
      <c r="Q20" s="89">
        <v>0.11531849239585631</v>
      </c>
      <c r="R20" s="89">
        <v>0.12300639188891342</v>
      </c>
      <c r="S20" s="89">
        <v>0.13487302171512702</v>
      </c>
      <c r="T20" s="89">
        <v>0.1426431004392629</v>
      </c>
      <c r="U20" s="89">
        <v>0.15056771713033312</v>
      </c>
      <c r="V20" s="89">
        <v>0.15849233382140326</v>
      </c>
      <c r="W20" s="89">
        <v>0.15849233382140326</v>
      </c>
      <c r="X20" s="89">
        <v>0.15849233382140326</v>
      </c>
      <c r="Y20" s="89">
        <v>0.15849233382140326</v>
      </c>
      <c r="Z20" s="89">
        <v>0.15849233382140326</v>
      </c>
      <c r="AA20" s="89">
        <v>0.15849233382140326</v>
      </c>
      <c r="AB20" s="89">
        <v>0.15849233382140326</v>
      </c>
      <c r="AC20" s="89">
        <v>0.15849233382140326</v>
      </c>
      <c r="AD20" s="89">
        <v>0.15849233382140326</v>
      </c>
      <c r="AE20" s="89">
        <v>0.15849233382140326</v>
      </c>
      <c r="AF20" s="89">
        <v>0.15849233382140326</v>
      </c>
      <c r="AG20" s="89">
        <v>0.15849233382140326</v>
      </c>
      <c r="AH20" s="89">
        <v>0.15849233382140326</v>
      </c>
      <c r="AI20" s="89">
        <v>0.15923070512351159</v>
      </c>
      <c r="AJ20" s="89">
        <v>0.16022521514959326</v>
      </c>
      <c r="AK20" s="89">
        <v>0.16141088174170026</v>
      </c>
      <c r="AL20" s="89">
        <f t="shared" si="4"/>
        <v>0.16141088174170026</v>
      </c>
      <c r="AM20" s="89">
        <f t="shared" si="4"/>
        <v>0.16141088174170026</v>
      </c>
      <c r="AN20" s="89">
        <f t="shared" si="4"/>
        <v>0.16141088174170026</v>
      </c>
      <c r="AO20" s="89">
        <f t="shared" si="4"/>
        <v>0.16141088174170026</v>
      </c>
      <c r="AP20" s="89">
        <f t="shared" si="4"/>
        <v>0.16081088174170027</v>
      </c>
      <c r="AQ20" s="20"/>
      <c r="AR20" s="20"/>
      <c r="AS20" s="20"/>
      <c r="AT20" s="20"/>
      <c r="AW20" s="109"/>
      <c r="AX20" s="53" t="s">
        <v>29</v>
      </c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>
        <v>0.01</v>
      </c>
      <c r="BL20" s="84">
        <v>0.01</v>
      </c>
      <c r="BM20" s="84">
        <v>0.01</v>
      </c>
      <c r="BN20" s="84">
        <v>0.01</v>
      </c>
      <c r="BO20" s="84">
        <v>0.01</v>
      </c>
      <c r="BP20" s="84">
        <v>0.01</v>
      </c>
      <c r="BQ20" s="84">
        <v>0.01</v>
      </c>
      <c r="BR20" s="84">
        <v>0.01</v>
      </c>
      <c r="BS20" s="84">
        <v>0.01</v>
      </c>
      <c r="BT20" s="84">
        <v>0.01</v>
      </c>
      <c r="BU20" s="84">
        <v>0.01</v>
      </c>
      <c r="BV20" s="84">
        <v>0.01</v>
      </c>
      <c r="BW20" s="84">
        <v>0.01</v>
      </c>
      <c r="BX20" s="84">
        <v>0.01</v>
      </c>
      <c r="BY20" s="84">
        <v>0.01</v>
      </c>
      <c r="BZ20" s="84">
        <v>0.01</v>
      </c>
      <c r="CA20" s="84">
        <v>0.01</v>
      </c>
      <c r="CB20" s="84">
        <v>0.01</v>
      </c>
      <c r="CC20" s="84">
        <v>0.01</v>
      </c>
      <c r="CD20" s="84">
        <v>0.01</v>
      </c>
      <c r="CE20" s="84">
        <v>0.01</v>
      </c>
      <c r="CF20" s="84">
        <v>0.01</v>
      </c>
      <c r="CG20" s="84">
        <v>0.01</v>
      </c>
      <c r="CH20" s="84">
        <v>0.01</v>
      </c>
      <c r="CI20" s="84">
        <v>0.01</v>
      </c>
      <c r="CJ20" s="84">
        <v>0.01</v>
      </c>
      <c r="CK20" s="84">
        <v>0.01</v>
      </c>
      <c r="CL20" s="84">
        <v>0.01</v>
      </c>
      <c r="CM20" s="84">
        <v>0.01</v>
      </c>
      <c r="CN20" s="84">
        <v>0.01</v>
      </c>
      <c r="CO20" s="84">
        <v>0.01</v>
      </c>
      <c r="CP20" s="84">
        <v>0.01</v>
      </c>
      <c r="CU20" s="102">
        <v>0</v>
      </c>
      <c r="CV20" s="102">
        <v>0</v>
      </c>
      <c r="CW20" s="102">
        <v>0</v>
      </c>
      <c r="CX20" s="102">
        <v>0</v>
      </c>
      <c r="CY20" s="102">
        <v>0</v>
      </c>
      <c r="CZ20" s="102">
        <v>0</v>
      </c>
      <c r="DA20" s="102">
        <v>0</v>
      </c>
      <c r="DB20" s="102">
        <v>0</v>
      </c>
      <c r="DC20" s="102">
        <v>0</v>
      </c>
      <c r="DD20" s="102">
        <v>0</v>
      </c>
      <c r="DE20" s="102">
        <v>0</v>
      </c>
      <c r="DF20" s="102">
        <v>0</v>
      </c>
      <c r="DG20" s="102">
        <v>0.82803886898145018</v>
      </c>
      <c r="DH20" s="102">
        <v>0.89173416659540772</v>
      </c>
      <c r="DI20" s="102">
        <v>0.95542946420936525</v>
      </c>
      <c r="DJ20" s="102">
        <v>1.0191247618233232</v>
      </c>
      <c r="DK20" s="102">
        <v>1.1539464903917649</v>
      </c>
      <c r="DL20" s="102">
        <v>1.2218256957089277</v>
      </c>
      <c r="DM20" s="102">
        <v>1.2897049010260915</v>
      </c>
      <c r="DN20" s="102">
        <v>1.3575841063432534</v>
      </c>
      <c r="DO20" s="102">
        <v>0.96249555548886967</v>
      </c>
      <c r="DP20" s="102">
        <v>0.75536790555247979</v>
      </c>
      <c r="DQ20" s="102">
        <v>0.548262435892517</v>
      </c>
      <c r="DR20" s="102">
        <v>0.34117919086953297</v>
      </c>
      <c r="DS20" s="102">
        <v>-0.10021998452263414</v>
      </c>
      <c r="DT20" s="102">
        <v>-0.30585469421547273</v>
      </c>
      <c r="DU20" s="102">
        <v>-0.51139979239261724</v>
      </c>
      <c r="DV20" s="102">
        <v>-0.71685492060800549</v>
      </c>
      <c r="DW20" s="102">
        <v>-1.2084723770048722</v>
      </c>
      <c r="DX20" s="102">
        <v>-1.4125584166329093</v>
      </c>
      <c r="DY20" s="102">
        <v>-1.6164391768180888</v>
      </c>
      <c r="DZ20" s="102">
        <v>-1.8201134258837541</v>
      </c>
      <c r="EA20" s="102">
        <v>-2.3693267067653876</v>
      </c>
      <c r="EB20" s="102">
        <v>-2.5750711171137715</v>
      </c>
      <c r="EC20" s="102">
        <v>-2.780495267765688</v>
      </c>
      <c r="ED20" s="102">
        <v>-2.9855967887993833</v>
      </c>
      <c r="EE20" s="102">
        <v>-3.6008107122007473</v>
      </c>
      <c r="EF20" s="102">
        <v>-3.8122154875499739</v>
      </c>
      <c r="EG20" s="102">
        <v>-4.0414542220034484</v>
      </c>
      <c r="EH20" s="102">
        <v>-4.2705349072687229</v>
      </c>
    </row>
    <row r="21" spans="1:138">
      <c r="C21" s="17">
        <f>AVERAGE(C4:C12)</f>
        <v>0.17555555555555558</v>
      </c>
      <c r="D21" s="17">
        <f t="shared" ref="D21:J21" si="5">AVERAGE(D4:D12)</f>
        <v>0.17864955106621772</v>
      </c>
      <c r="E21" s="17">
        <f t="shared" si="5"/>
        <v>0.18175465768799104</v>
      </c>
      <c r="F21" s="17">
        <f t="shared" si="5"/>
        <v>0.18481531986531985</v>
      </c>
      <c r="G21" s="17">
        <f t="shared" si="5"/>
        <v>0.19338569345770307</v>
      </c>
      <c r="H21" s="17">
        <f t="shared" si="5"/>
        <v>0.19751001764785284</v>
      </c>
      <c r="I21" s="17">
        <f t="shared" si="5"/>
        <v>0.20045773351300794</v>
      </c>
      <c r="J21" s="17">
        <f t="shared" si="5"/>
        <v>0.2040104202073271</v>
      </c>
      <c r="K21" s="17">
        <f>AVERAGE(K4:K16)</f>
        <v>0.22571055453631125</v>
      </c>
      <c r="L21" s="17">
        <f t="shared" ref="L21:N21" si="6">AVERAGE(L4:L16)</f>
        <v>0.22872445785001821</v>
      </c>
      <c r="M21" s="17">
        <f t="shared" si="6"/>
        <v>0.23175168743345284</v>
      </c>
      <c r="N21" s="17">
        <f t="shared" si="6"/>
        <v>0.23457328305485214</v>
      </c>
      <c r="O21" s="17">
        <f>AVERAGE(O4:O20)</f>
        <v>0.22725420790646406</v>
      </c>
      <c r="P21" s="17">
        <f t="shared" ref="P21:AP21" si="7">AVERAGE(P4:P20)</f>
        <v>0.22780479373471177</v>
      </c>
      <c r="Q21" s="17">
        <f t="shared" si="7"/>
        <v>0.23146396610693512</v>
      </c>
      <c r="R21" s="17">
        <f t="shared" si="7"/>
        <v>0.23518353603760198</v>
      </c>
      <c r="S21" s="17">
        <f t="shared" si="7"/>
        <v>0.24314838579969736</v>
      </c>
      <c r="T21" s="17">
        <f t="shared" si="7"/>
        <v>0.24672753570519906</v>
      </c>
      <c r="U21" s="17">
        <f t="shared" si="7"/>
        <v>0.25035679889240203</v>
      </c>
      <c r="V21" s="17">
        <f t="shared" si="7"/>
        <v>0.25398606207960506</v>
      </c>
      <c r="W21" s="17">
        <f t="shared" si="7"/>
        <v>0.25566890345223486</v>
      </c>
      <c r="X21" s="17">
        <f t="shared" si="7"/>
        <v>0.25655927723835459</v>
      </c>
      <c r="Y21" s="17">
        <f t="shared" si="7"/>
        <v>0.25744965102447426</v>
      </c>
      <c r="Z21" s="17">
        <f t="shared" si="7"/>
        <v>0.25834002481059404</v>
      </c>
      <c r="AA21" s="17">
        <f t="shared" si="7"/>
        <v>0.2587483781867555</v>
      </c>
      <c r="AB21" s="17">
        <f t="shared" si="7"/>
        <v>0.25875660663003847</v>
      </c>
      <c r="AC21" s="17">
        <f t="shared" si="7"/>
        <v>0.25879424683802732</v>
      </c>
      <c r="AD21" s="17">
        <f t="shared" si="7"/>
        <v>0.25977643161259628</v>
      </c>
      <c r="AE21" s="17">
        <f t="shared" si="7"/>
        <v>0.26063008837379825</v>
      </c>
      <c r="AF21" s="17">
        <f t="shared" si="7"/>
        <v>0.26077970625914265</v>
      </c>
      <c r="AG21" s="17">
        <f t="shared" si="7"/>
        <v>0.26092932414448705</v>
      </c>
      <c r="AH21" s="17">
        <f t="shared" si="7"/>
        <v>0.26107894202983145</v>
      </c>
      <c r="AI21" s="17">
        <f t="shared" si="7"/>
        <v>0.26205886057852618</v>
      </c>
      <c r="AJ21" s="17">
        <f t="shared" si="7"/>
        <v>0.26261825648107157</v>
      </c>
      <c r="AK21" s="17">
        <f t="shared" si="7"/>
        <v>0.26283447257025933</v>
      </c>
      <c r="AL21" s="17">
        <f t="shared" si="7"/>
        <v>0.26297944064737105</v>
      </c>
      <c r="AM21" s="17">
        <f t="shared" si="7"/>
        <v>0.26344690480835015</v>
      </c>
      <c r="AN21" s="17">
        <f t="shared" si="7"/>
        <v>0.2646651461832436</v>
      </c>
      <c r="AO21" s="17">
        <f t="shared" si="7"/>
        <v>0.26461808735971415</v>
      </c>
      <c r="AP21" s="17">
        <f t="shared" si="7"/>
        <v>0.26459288906285983</v>
      </c>
      <c r="AQ21" s="20"/>
      <c r="AR21" s="20"/>
      <c r="AS21" s="20"/>
      <c r="AT21" s="20"/>
      <c r="AY21" s="85">
        <f t="shared" ref="AY21:BK21" si="8">AVERAGE(AY4:AY20)</f>
        <v>2.9999999999999996E-3</v>
      </c>
      <c r="AZ21" s="85">
        <f t="shared" si="8"/>
        <v>2E-3</v>
      </c>
      <c r="BA21" s="85">
        <f t="shared" si="8"/>
        <v>2E-3</v>
      </c>
      <c r="BB21" s="85">
        <f t="shared" si="8"/>
        <v>2E-3</v>
      </c>
      <c r="BC21" s="85">
        <f t="shared" si="8"/>
        <v>8.0000000000000002E-3</v>
      </c>
      <c r="BD21" s="85">
        <f t="shared" si="8"/>
        <v>8.0000000000000002E-3</v>
      </c>
      <c r="BE21" s="85">
        <f t="shared" si="8"/>
        <v>8.0000000000000002E-3</v>
      </c>
      <c r="BF21" s="85">
        <f t="shared" si="8"/>
        <v>8.0000000000000002E-3</v>
      </c>
      <c r="BG21" s="85">
        <f t="shared" si="8"/>
        <v>8.0000000000000036E-3</v>
      </c>
      <c r="BH21" s="85">
        <f t="shared" si="8"/>
        <v>8.0000000000000036E-3</v>
      </c>
      <c r="BI21" s="85">
        <f t="shared" si="8"/>
        <v>8.0000000000000036E-3</v>
      </c>
      <c r="BJ21" s="85">
        <f t="shared" si="8"/>
        <v>8.0000000000000036E-3</v>
      </c>
      <c r="BK21" s="85">
        <f t="shared" si="8"/>
        <v>8.2352941176470629E-3</v>
      </c>
      <c r="BL21" s="85">
        <f>AVERAGE(BL4:BL20)</f>
        <v>8.2352941176470629E-3</v>
      </c>
      <c r="BM21" s="85">
        <f t="shared" ref="BM21:BQ21" si="9">AVERAGE(BM4:BM20)</f>
        <v>8.2352941176470629E-3</v>
      </c>
      <c r="BN21" s="85">
        <f t="shared" si="9"/>
        <v>8.2352941176470629E-3</v>
      </c>
      <c r="BO21" s="85">
        <f t="shared" si="9"/>
        <v>8.2352941176470629E-3</v>
      </c>
      <c r="BP21" s="85">
        <f t="shared" si="9"/>
        <v>8.2352941176470629E-3</v>
      </c>
      <c r="BQ21" s="85">
        <f t="shared" si="9"/>
        <v>8.2352941176470629E-3</v>
      </c>
      <c r="BR21" s="84">
        <f t="shared" ref="BR21" si="10">IF(BQ21+$Y$24&gt;80%,80%,BQ21+$AB$24)</f>
        <v>8.2352941176470629E-3</v>
      </c>
      <c r="BS21" s="84">
        <f t="shared" ref="BS21" si="11">IF(BR21+$Y$24&gt;80%,80%,BR21+$AB$24)</f>
        <v>8.2352941176470629E-3</v>
      </c>
      <c r="BT21" s="84">
        <f t="shared" ref="BT21" si="12">IF(BS21+$Y$24&gt;80%,80%,BS21+$AB$24)</f>
        <v>8.2352941176470629E-3</v>
      </c>
      <c r="BU21" s="84">
        <f t="shared" ref="BU21" si="13">IF(BT21+$Y$24&gt;80%,80%,BT21+$AB$24)</f>
        <v>8.2352941176470629E-3</v>
      </c>
      <c r="BV21" s="84">
        <f t="shared" ref="BV21" si="14">IF(BU21+$Y$24&gt;80%,80%,BU21+$AB$24)</f>
        <v>8.2352941176470629E-3</v>
      </c>
      <c r="BW21" s="84">
        <f t="shared" ref="BW21" si="15">IF(BV21+$Y$24&gt;80%,80%,BV21+$AB$24)</f>
        <v>8.2352941176470629E-3</v>
      </c>
      <c r="BX21" s="84">
        <f t="shared" ref="BX21" si="16">IF(BW21+$Y$24&gt;80%,80%,BW21+$AB$24)</f>
        <v>8.2352941176470629E-3</v>
      </c>
      <c r="BY21" s="84">
        <f t="shared" ref="BY21" si="17">IF(BX21+$Y$24&gt;80%,80%,BX21+$AB$24)</f>
        <v>8.2352941176470629E-3</v>
      </c>
      <c r="BZ21" s="84">
        <f t="shared" ref="BZ21" si="18">IF(BY21+$Y$24&gt;80%,80%,BY21+$AB$24)</f>
        <v>8.2352941176470629E-3</v>
      </c>
      <c r="CA21" s="84">
        <f t="shared" ref="CA21" si="19">IF(BZ21+$Y$24&gt;80%,80%,BZ21+$AB$24)</f>
        <v>8.2352941176470629E-3</v>
      </c>
      <c r="CB21" s="84">
        <f t="shared" ref="CB21" si="20">IF(CA21+$Y$24&gt;80%,80%,CA21+$AB$24)</f>
        <v>8.2352941176470629E-3</v>
      </c>
      <c r="CC21" s="84">
        <f t="shared" ref="CC21" si="21">IF(CB21+$Y$24&gt;80%,80%,CB21+$AB$24)</f>
        <v>8.2352941176470629E-3</v>
      </c>
      <c r="CD21" s="84">
        <f t="shared" ref="CD21" si="22">IF(CC21+$Y$24&gt;80%,80%,CC21+$AB$24)</f>
        <v>8.2352941176470629E-3</v>
      </c>
      <c r="CE21" s="84">
        <f t="shared" ref="CE21" si="23">IF(CD21+$Y$24&gt;80%,80%,CD21+$AB$24)</f>
        <v>8.2352941176470629E-3</v>
      </c>
      <c r="CF21" s="84">
        <f t="shared" ref="CF21" si="24">IF(CE21+$Y$24&gt;80%,80%,CE21+$AB$24)</f>
        <v>8.2352941176470629E-3</v>
      </c>
      <c r="CG21" s="84">
        <f t="shared" ref="CG21" si="25">IF(CF21+$Y$24&gt;80%,80%,CF21+$AB$24)</f>
        <v>8.2352941176470629E-3</v>
      </c>
      <c r="CH21" s="84">
        <f t="shared" ref="CH21" si="26">IF(CG21+$Y$24&gt;80%,80%,CG21+$AB$24)</f>
        <v>8.2352941176470629E-3</v>
      </c>
      <c r="CI21" s="84">
        <f t="shared" ref="CI21" si="27">IF(CH21+$Y$24&gt;80%,80%,CH21+$AB$24)</f>
        <v>8.2352941176470629E-3</v>
      </c>
      <c r="CJ21" s="84">
        <f t="shared" ref="CJ21" si="28">IF(CI21+$Y$24&gt;80%,80%,CI21+$AB$24)</f>
        <v>8.2352941176470629E-3</v>
      </c>
      <c r="CK21" s="84">
        <f t="shared" ref="CK21" si="29">IF(CJ21+$Y$24&gt;80%,80%,CJ21+$AB$24)</f>
        <v>8.2352941176470629E-3</v>
      </c>
      <c r="CL21" s="84">
        <f t="shared" ref="CL21" si="30">IF(CK21+$Y$24&gt;80%,80%,CK21+$AB$24)</f>
        <v>8.2352941176470629E-3</v>
      </c>
      <c r="CM21" s="84">
        <f t="shared" ref="CM21" si="31">IF(CL21+$Y$24&gt;80%,80%,CL21+$AB$24)</f>
        <v>8.2352941176470629E-3</v>
      </c>
      <c r="CN21" s="84">
        <f t="shared" ref="CN21" si="32">IF(CM21+$Y$24&gt;80%,80%,CM21+$AB$24)</f>
        <v>8.2352941176470629E-3</v>
      </c>
      <c r="CO21" s="84">
        <f t="shared" ref="CO21" si="33">IF(CN21+$Y$24&gt;80%,80%,CN21+$AB$24)</f>
        <v>8.2352941176470629E-3</v>
      </c>
      <c r="CP21" s="84">
        <f t="shared" ref="CP21" si="34">IF(CO21+$Y$24&gt;80%,80%,CO21+$AB$24)</f>
        <v>8.2352941176470629E-3</v>
      </c>
      <c r="CU21" s="102">
        <v>0</v>
      </c>
      <c r="CV21" s="102">
        <v>0</v>
      </c>
      <c r="CW21" s="102">
        <v>0</v>
      </c>
      <c r="CX21" s="102">
        <v>0</v>
      </c>
      <c r="CY21" s="102">
        <v>0</v>
      </c>
      <c r="CZ21" s="102">
        <v>0</v>
      </c>
      <c r="DA21" s="102">
        <v>0</v>
      </c>
      <c r="DB21" s="102">
        <v>0</v>
      </c>
      <c r="DC21" s="102">
        <v>0</v>
      </c>
      <c r="DD21" s="102">
        <v>0</v>
      </c>
      <c r="DE21" s="102">
        <v>0</v>
      </c>
      <c r="DF21" s="102">
        <v>0</v>
      </c>
      <c r="DG21" s="102">
        <v>0</v>
      </c>
      <c r="DH21" s="102">
        <v>0</v>
      </c>
      <c r="DI21" s="102">
        <v>0</v>
      </c>
      <c r="DJ21" s="102">
        <v>0</v>
      </c>
      <c r="DK21" s="102">
        <v>0</v>
      </c>
      <c r="DL21" s="102">
        <v>0</v>
      </c>
      <c r="DM21" s="102">
        <v>0</v>
      </c>
      <c r="DN21" s="102">
        <v>0</v>
      </c>
      <c r="DO21" s="102">
        <v>0</v>
      </c>
      <c r="DP21" s="102">
        <v>0</v>
      </c>
      <c r="DQ21" s="102">
        <v>0</v>
      </c>
      <c r="DR21" s="102">
        <v>0</v>
      </c>
      <c r="DS21" s="102">
        <v>0</v>
      </c>
      <c r="DT21" s="102">
        <v>0</v>
      </c>
      <c r="DU21" s="102">
        <v>0</v>
      </c>
      <c r="DV21" s="102">
        <v>0</v>
      </c>
      <c r="DW21" s="102">
        <v>0</v>
      </c>
      <c r="DX21" s="102">
        <v>0</v>
      </c>
      <c r="DY21" s="102">
        <v>0</v>
      </c>
      <c r="DZ21" s="102">
        <v>0</v>
      </c>
      <c r="EA21" s="102">
        <v>0</v>
      </c>
      <c r="EB21" s="102">
        <v>0</v>
      </c>
      <c r="EC21" s="102">
        <v>0</v>
      </c>
      <c r="ED21" s="102">
        <v>0</v>
      </c>
      <c r="EE21" s="102">
        <v>0</v>
      </c>
      <c r="EF21" s="102">
        <v>0</v>
      </c>
      <c r="EG21" s="102">
        <v>0</v>
      </c>
      <c r="EH21" s="102">
        <v>0</v>
      </c>
    </row>
    <row r="22" spans="1:138"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118"/>
      <c r="AR22" s="118"/>
    </row>
    <row r="23" spans="1:138"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</row>
    <row r="24" spans="1:138">
      <c r="A24" s="118" t="s">
        <v>33</v>
      </c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Y24" s="57"/>
      <c r="AB24" s="57"/>
      <c r="AF24" s="57"/>
      <c r="AI24" s="57"/>
      <c r="AL24" s="57"/>
      <c r="AO24" s="57"/>
      <c r="AR24" s="57"/>
    </row>
    <row r="25" spans="1:138">
      <c r="A25" s="117"/>
      <c r="B25" s="117"/>
      <c r="C25" s="119">
        <v>2022</v>
      </c>
      <c r="D25" s="120"/>
      <c r="E25" s="112">
        <v>2023</v>
      </c>
      <c r="F25" s="112"/>
      <c r="G25" s="112"/>
      <c r="H25" s="112"/>
      <c r="I25" s="116">
        <v>2024</v>
      </c>
      <c r="J25" s="116"/>
      <c r="K25" s="116"/>
      <c r="L25" s="116"/>
      <c r="M25" s="112">
        <v>2025</v>
      </c>
      <c r="N25" s="112"/>
      <c r="O25" s="112"/>
      <c r="P25" s="112"/>
      <c r="Q25" s="111">
        <v>2026</v>
      </c>
      <c r="R25" s="111"/>
      <c r="S25" s="111"/>
      <c r="T25" s="111"/>
    </row>
    <row r="26" spans="1:138">
      <c r="A26" s="117"/>
      <c r="B26" s="117"/>
      <c r="C26" s="19">
        <v>3</v>
      </c>
      <c r="D26" s="19">
        <v>4</v>
      </c>
      <c r="E26" s="19">
        <v>1</v>
      </c>
      <c r="F26" s="19">
        <v>2</v>
      </c>
      <c r="G26" s="19">
        <v>3</v>
      </c>
      <c r="H26" s="19">
        <v>4</v>
      </c>
      <c r="I26" s="19">
        <v>1</v>
      </c>
      <c r="J26" s="19">
        <v>2</v>
      </c>
      <c r="K26" s="19">
        <v>3</v>
      </c>
      <c r="L26" s="19">
        <v>4</v>
      </c>
      <c r="M26" s="19">
        <v>1</v>
      </c>
      <c r="N26" s="19">
        <v>2</v>
      </c>
      <c r="O26" s="19">
        <v>3</v>
      </c>
      <c r="P26" s="19">
        <v>4</v>
      </c>
      <c r="Q26" s="19">
        <v>1</v>
      </c>
      <c r="R26" s="19">
        <v>2</v>
      </c>
      <c r="S26" s="19">
        <v>3</v>
      </c>
      <c r="T26" s="19">
        <v>4</v>
      </c>
    </row>
    <row r="27" spans="1:138">
      <c r="A27" s="107">
        <v>1</v>
      </c>
      <c r="B27" s="47" t="s">
        <v>15</v>
      </c>
      <c r="C27" s="20">
        <v>0.4</v>
      </c>
      <c r="D27" s="20">
        <v>0.45</v>
      </c>
      <c r="E27" s="20">
        <v>0.5</v>
      </c>
      <c r="F27" s="20">
        <f t="shared" ref="F27" si="35">E27+5%</f>
        <v>0.55000000000000004</v>
      </c>
      <c r="G27" s="20">
        <f t="shared" ref="G27" si="36">F27+5%</f>
        <v>0.60000000000000009</v>
      </c>
      <c r="H27" s="20">
        <f t="shared" ref="H27" si="37">G27+5%</f>
        <v>0.65000000000000013</v>
      </c>
      <c r="I27" s="20">
        <f t="shared" ref="I27" si="38">H27+5%</f>
        <v>0.70000000000000018</v>
      </c>
      <c r="J27" s="20">
        <f t="shared" ref="J27" si="39">I27+5%</f>
        <v>0.75000000000000022</v>
      </c>
      <c r="K27" s="20">
        <f t="shared" ref="K27" si="40">J27+5%</f>
        <v>0.80000000000000027</v>
      </c>
      <c r="L27" s="20">
        <v>0.8</v>
      </c>
      <c r="M27" s="20">
        <v>0.8</v>
      </c>
      <c r="N27" s="20">
        <v>0.8</v>
      </c>
      <c r="O27" s="20">
        <v>0.8</v>
      </c>
      <c r="P27" s="20">
        <v>0.8</v>
      </c>
      <c r="Q27" s="20">
        <v>0.8</v>
      </c>
      <c r="R27" s="20">
        <v>0.8</v>
      </c>
      <c r="S27" s="20">
        <v>0.8</v>
      </c>
      <c r="T27" s="20">
        <v>0.8</v>
      </c>
    </row>
    <row r="28" spans="1:138">
      <c r="A28" s="108"/>
      <c r="B28" s="47" t="s">
        <v>17</v>
      </c>
      <c r="C28" s="20">
        <v>0.2</v>
      </c>
      <c r="D28" s="20">
        <f t="shared" ref="D28:D30" si="41">C28+1%</f>
        <v>0.21000000000000002</v>
      </c>
      <c r="E28" s="20">
        <f t="shared" ref="E28:E30" si="42">D28+1%</f>
        <v>0.22000000000000003</v>
      </c>
      <c r="F28" s="20">
        <f t="shared" ref="F28:F30" si="43">E28+1%</f>
        <v>0.23000000000000004</v>
      </c>
      <c r="G28" s="20">
        <f t="shared" ref="G28:G30" si="44">F28+1%</f>
        <v>0.24000000000000005</v>
      </c>
      <c r="H28" s="20">
        <f t="shared" ref="H28:H30" si="45">G28+1%</f>
        <v>0.25000000000000006</v>
      </c>
      <c r="I28" s="20">
        <f t="shared" ref="I28:I31" si="46">H28+1%</f>
        <v>0.26000000000000006</v>
      </c>
      <c r="J28" s="20">
        <f t="shared" ref="J28:J31" si="47">I28+1%</f>
        <v>0.27000000000000007</v>
      </c>
      <c r="K28" s="20">
        <f t="shared" ref="K28:K31" si="48">J28+1%</f>
        <v>0.28000000000000008</v>
      </c>
      <c r="L28" s="20">
        <f t="shared" ref="L28:L31" si="49">K28+1%</f>
        <v>0.29000000000000009</v>
      </c>
      <c r="M28" s="20">
        <f t="shared" ref="M28:M31" si="50">L28+1%</f>
        <v>0.3000000000000001</v>
      </c>
      <c r="N28" s="20">
        <v>0.3000000000000001</v>
      </c>
      <c r="O28" s="20">
        <v>0.3000000000000001</v>
      </c>
      <c r="P28" s="20">
        <v>0.3000000000000001</v>
      </c>
      <c r="Q28" s="20">
        <v>0.3000000000000001</v>
      </c>
      <c r="R28" s="20">
        <v>0.3000000000000001</v>
      </c>
      <c r="S28" s="20">
        <v>0.3000000000000001</v>
      </c>
      <c r="T28" s="20">
        <v>0.3000000000000001</v>
      </c>
    </row>
    <row r="29" spans="1:138">
      <c r="A29" s="108"/>
      <c r="B29" s="47" t="s">
        <v>14</v>
      </c>
      <c r="C29" s="20">
        <v>0.2</v>
      </c>
      <c r="D29" s="20">
        <f t="shared" si="41"/>
        <v>0.21000000000000002</v>
      </c>
      <c r="E29" s="20">
        <f t="shared" si="42"/>
        <v>0.22000000000000003</v>
      </c>
      <c r="F29" s="20">
        <f t="shared" si="43"/>
        <v>0.23000000000000004</v>
      </c>
      <c r="G29" s="20">
        <f t="shared" si="44"/>
        <v>0.24000000000000005</v>
      </c>
      <c r="H29" s="20">
        <f t="shared" si="45"/>
        <v>0.25000000000000006</v>
      </c>
      <c r="I29" s="20">
        <f t="shared" si="46"/>
        <v>0.26000000000000006</v>
      </c>
      <c r="J29" s="20">
        <f t="shared" si="47"/>
        <v>0.27000000000000007</v>
      </c>
      <c r="K29" s="20">
        <f t="shared" si="48"/>
        <v>0.28000000000000008</v>
      </c>
      <c r="L29" s="20">
        <f t="shared" si="49"/>
        <v>0.29000000000000009</v>
      </c>
      <c r="M29" s="20">
        <f t="shared" si="50"/>
        <v>0.3000000000000001</v>
      </c>
      <c r="N29" s="20">
        <v>0.3000000000000001</v>
      </c>
      <c r="O29" s="20">
        <v>0.3000000000000001</v>
      </c>
      <c r="P29" s="20">
        <v>0.3000000000000001</v>
      </c>
      <c r="Q29" s="20">
        <v>0.3000000000000001</v>
      </c>
      <c r="R29" s="20">
        <v>0.3000000000000001</v>
      </c>
      <c r="S29" s="20">
        <v>0.3000000000000001</v>
      </c>
      <c r="T29" s="20">
        <v>0.3000000000000001</v>
      </c>
    </row>
    <row r="30" spans="1:138">
      <c r="A30" s="108"/>
      <c r="B30" s="47" t="s">
        <v>16</v>
      </c>
      <c r="C30" s="20">
        <v>0.15</v>
      </c>
      <c r="D30" s="20">
        <f t="shared" si="41"/>
        <v>0.16</v>
      </c>
      <c r="E30" s="20">
        <f t="shared" si="42"/>
        <v>0.17</v>
      </c>
      <c r="F30" s="20">
        <f t="shared" si="43"/>
        <v>0.18000000000000002</v>
      </c>
      <c r="G30" s="20">
        <f t="shared" si="44"/>
        <v>0.19000000000000003</v>
      </c>
      <c r="H30" s="20">
        <f t="shared" si="45"/>
        <v>0.20000000000000004</v>
      </c>
      <c r="I30" s="20">
        <f t="shared" si="46"/>
        <v>0.21000000000000005</v>
      </c>
      <c r="J30" s="20">
        <f t="shared" si="47"/>
        <v>0.22000000000000006</v>
      </c>
      <c r="K30" s="20">
        <f t="shared" si="48"/>
        <v>0.23000000000000007</v>
      </c>
      <c r="L30" s="20">
        <f t="shared" si="49"/>
        <v>0.24000000000000007</v>
      </c>
      <c r="M30" s="20">
        <f t="shared" si="50"/>
        <v>0.25000000000000006</v>
      </c>
      <c r="N30" s="20">
        <f t="shared" ref="N30:N31" si="51">M30+1%</f>
        <v>0.26000000000000006</v>
      </c>
      <c r="O30" s="20">
        <f t="shared" ref="O30:O31" si="52">N30+1%</f>
        <v>0.27000000000000007</v>
      </c>
      <c r="P30" s="20">
        <f t="shared" ref="P30:P31" si="53">O30+1%</f>
        <v>0.28000000000000008</v>
      </c>
      <c r="Q30" s="20">
        <f t="shared" ref="Q30:Q31" si="54">P30+1%</f>
        <v>0.29000000000000009</v>
      </c>
      <c r="R30" s="20">
        <f t="shared" ref="R30" si="55">Q30+1%</f>
        <v>0.3000000000000001</v>
      </c>
      <c r="S30" s="20">
        <v>0.3000000000000001</v>
      </c>
      <c r="T30" s="20">
        <v>0.3000000000000001</v>
      </c>
    </row>
    <row r="31" spans="1:138">
      <c r="A31" s="109"/>
      <c r="B31" s="47" t="s">
        <v>18</v>
      </c>
      <c r="C31" s="19"/>
      <c r="D31" s="19"/>
      <c r="E31" s="19"/>
      <c r="F31" s="19"/>
      <c r="G31" s="20">
        <v>0.2</v>
      </c>
      <c r="H31" s="20">
        <f>G31+1%</f>
        <v>0.21000000000000002</v>
      </c>
      <c r="I31" s="20">
        <f t="shared" si="46"/>
        <v>0.22000000000000003</v>
      </c>
      <c r="J31" s="20">
        <f t="shared" si="47"/>
        <v>0.23000000000000004</v>
      </c>
      <c r="K31" s="20">
        <f t="shared" si="48"/>
        <v>0.24000000000000005</v>
      </c>
      <c r="L31" s="20">
        <f t="shared" si="49"/>
        <v>0.25000000000000006</v>
      </c>
      <c r="M31" s="20">
        <f t="shared" si="50"/>
        <v>0.26000000000000006</v>
      </c>
      <c r="N31" s="20">
        <f t="shared" si="51"/>
        <v>0.27000000000000007</v>
      </c>
      <c r="O31" s="20">
        <f t="shared" si="52"/>
        <v>0.28000000000000008</v>
      </c>
      <c r="P31" s="20">
        <f t="shared" si="53"/>
        <v>0.29000000000000009</v>
      </c>
      <c r="Q31" s="20">
        <f t="shared" si="54"/>
        <v>0.3000000000000001</v>
      </c>
      <c r="R31" s="20">
        <v>0.3</v>
      </c>
      <c r="S31" s="20">
        <v>0.3</v>
      </c>
      <c r="T31" s="20">
        <v>0.3</v>
      </c>
    </row>
    <row r="32" spans="1:138">
      <c r="A32" s="107">
        <v>2</v>
      </c>
      <c r="B32" s="48" t="s">
        <v>20</v>
      </c>
      <c r="C32" s="19"/>
      <c r="D32" s="19"/>
      <c r="E32" s="19"/>
      <c r="F32" s="19"/>
      <c r="G32" s="20">
        <v>0.6</v>
      </c>
      <c r="H32" s="20">
        <f t="shared" ref="H32:H33" si="56">G32+5%</f>
        <v>0.65</v>
      </c>
      <c r="I32" s="20">
        <f t="shared" ref="I32:I33" si="57">H32+5%</f>
        <v>0.70000000000000007</v>
      </c>
      <c r="J32" s="20">
        <f t="shared" ref="J32:J33" si="58">I32+5%</f>
        <v>0.75000000000000011</v>
      </c>
      <c r="K32" s="20">
        <f t="shared" ref="K32:K33" si="59">J32+5%</f>
        <v>0.80000000000000016</v>
      </c>
      <c r="L32" s="20">
        <v>0.8</v>
      </c>
      <c r="M32" s="20">
        <v>0.8</v>
      </c>
      <c r="N32" s="20">
        <v>0.8</v>
      </c>
      <c r="O32" s="20">
        <v>0.8</v>
      </c>
      <c r="P32" s="20">
        <v>0.8</v>
      </c>
      <c r="Q32" s="20">
        <v>0.8</v>
      </c>
      <c r="R32" s="20">
        <v>0.8</v>
      </c>
      <c r="S32" s="20">
        <v>0.8</v>
      </c>
      <c r="T32" s="20">
        <v>0.8</v>
      </c>
      <c r="BT32" t="s">
        <v>34</v>
      </c>
    </row>
    <row r="33" spans="1:20">
      <c r="A33" s="108"/>
      <c r="B33" s="48" t="s">
        <v>19</v>
      </c>
      <c r="C33" s="19"/>
      <c r="D33" s="19"/>
      <c r="E33" s="19"/>
      <c r="F33" s="19"/>
      <c r="G33" s="20">
        <v>0.5</v>
      </c>
      <c r="H33" s="20">
        <f t="shared" si="56"/>
        <v>0.55000000000000004</v>
      </c>
      <c r="I33" s="20">
        <f t="shared" si="57"/>
        <v>0.60000000000000009</v>
      </c>
      <c r="J33" s="20">
        <f t="shared" si="58"/>
        <v>0.65000000000000013</v>
      </c>
      <c r="K33" s="20">
        <f t="shared" si="59"/>
        <v>0.70000000000000018</v>
      </c>
      <c r="L33" s="20">
        <f>K33+5%</f>
        <v>0.75000000000000022</v>
      </c>
      <c r="M33" s="20">
        <f>L33+5%</f>
        <v>0.80000000000000027</v>
      </c>
      <c r="N33" s="20">
        <v>0.8</v>
      </c>
      <c r="O33" s="20">
        <v>0.8</v>
      </c>
      <c r="P33" s="20">
        <v>0.8</v>
      </c>
      <c r="Q33" s="20">
        <v>0.8</v>
      </c>
      <c r="R33" s="20">
        <v>0.8</v>
      </c>
      <c r="S33" s="20">
        <v>0.8</v>
      </c>
      <c r="T33" s="20">
        <v>0.8</v>
      </c>
    </row>
    <row r="34" spans="1:20">
      <c r="A34" s="108"/>
      <c r="B34" s="48" t="s">
        <v>21</v>
      </c>
      <c r="C34" s="19"/>
      <c r="D34" s="19"/>
      <c r="E34" s="19"/>
      <c r="F34" s="19"/>
      <c r="G34" s="20">
        <v>0.2</v>
      </c>
      <c r="H34" s="20">
        <f t="shared" ref="H34" si="60">G34+2%</f>
        <v>0.22</v>
      </c>
      <c r="I34" s="20">
        <f t="shared" ref="I34" si="61">H34+2%</f>
        <v>0.24</v>
      </c>
      <c r="J34" s="20">
        <f t="shared" ref="J34" si="62">I34+2%</f>
        <v>0.26</v>
      </c>
      <c r="K34" s="20">
        <f t="shared" ref="K34" si="63">J34+2%</f>
        <v>0.28000000000000003</v>
      </c>
      <c r="L34" s="20">
        <f t="shared" ref="L34" si="64">K34+2%</f>
        <v>0.30000000000000004</v>
      </c>
      <c r="M34" s="20">
        <f t="shared" ref="M34" si="65">L34+2%</f>
        <v>0.32000000000000006</v>
      </c>
      <c r="N34" s="20">
        <f t="shared" ref="N34" si="66">M34+2%</f>
        <v>0.34000000000000008</v>
      </c>
      <c r="O34" s="20">
        <f t="shared" ref="O34" si="67">N34+2%</f>
        <v>0.3600000000000001</v>
      </c>
      <c r="P34" s="20">
        <f t="shared" ref="P34" si="68">O34+2%</f>
        <v>0.38000000000000012</v>
      </c>
      <c r="Q34" s="20">
        <f t="shared" ref="Q34" si="69">P34+2%</f>
        <v>0.40000000000000013</v>
      </c>
      <c r="R34" s="20">
        <v>0.40000000000000013</v>
      </c>
      <c r="S34" s="20">
        <v>0.40000000000000013</v>
      </c>
      <c r="T34" s="20">
        <v>0.40000000000000013</v>
      </c>
    </row>
    <row r="35" spans="1:20">
      <c r="A35" s="109"/>
      <c r="B35" s="49" t="s">
        <v>22</v>
      </c>
      <c r="C35" s="19"/>
      <c r="D35" s="19"/>
      <c r="E35" s="19"/>
      <c r="F35" s="19"/>
      <c r="G35" s="19"/>
      <c r="H35" s="19"/>
      <c r="I35" s="19"/>
      <c r="J35" s="19"/>
      <c r="K35" s="20">
        <v>0.6</v>
      </c>
      <c r="L35" s="20">
        <f t="shared" ref="L35" si="70">K35+5%</f>
        <v>0.65</v>
      </c>
      <c r="M35" s="20">
        <f t="shared" ref="M35" si="71">L35+5%</f>
        <v>0.70000000000000007</v>
      </c>
      <c r="N35" s="20">
        <f t="shared" ref="N35" si="72">M35+5%</f>
        <v>0.75000000000000011</v>
      </c>
      <c r="O35" s="20">
        <f t="shared" ref="O35" si="73">N35+5%</f>
        <v>0.80000000000000016</v>
      </c>
      <c r="P35" s="20">
        <v>0.8</v>
      </c>
      <c r="Q35" s="20">
        <v>0.8</v>
      </c>
      <c r="R35" s="20">
        <v>0.8</v>
      </c>
      <c r="S35" s="20">
        <v>0.8</v>
      </c>
      <c r="T35" s="20">
        <v>0.8</v>
      </c>
    </row>
    <row r="36" spans="1:20">
      <c r="A36" s="107">
        <v>3</v>
      </c>
      <c r="B36" s="50" t="s">
        <v>24</v>
      </c>
      <c r="C36" s="19"/>
      <c r="D36" s="19"/>
      <c r="E36" s="19"/>
      <c r="F36" s="19"/>
      <c r="G36" s="19"/>
      <c r="H36" s="19"/>
      <c r="I36" s="19"/>
      <c r="J36" s="19"/>
      <c r="K36" s="20">
        <v>0.2</v>
      </c>
      <c r="L36" s="20">
        <f t="shared" ref="L36" si="74">K36+2%</f>
        <v>0.22</v>
      </c>
      <c r="M36" s="20">
        <f t="shared" ref="M36" si="75">L36+2%</f>
        <v>0.24</v>
      </c>
      <c r="N36" s="20">
        <f t="shared" ref="N36" si="76">M36+2%</f>
        <v>0.26</v>
      </c>
      <c r="O36" s="20">
        <f t="shared" ref="O36" si="77">N36+2%</f>
        <v>0.28000000000000003</v>
      </c>
      <c r="P36" s="20">
        <f t="shared" ref="P36" si="78">O36+2%</f>
        <v>0.30000000000000004</v>
      </c>
      <c r="Q36" s="20">
        <f t="shared" ref="Q36" si="79">P36+2%</f>
        <v>0.32000000000000006</v>
      </c>
      <c r="R36" s="20">
        <f t="shared" ref="R36" si="80">Q36+2%</f>
        <v>0.34000000000000008</v>
      </c>
      <c r="S36" s="20">
        <f t="shared" ref="S36" si="81">R36+2%</f>
        <v>0.3600000000000001</v>
      </c>
      <c r="T36" s="20">
        <f t="shared" ref="T36" si="82">S36+2%</f>
        <v>0.38000000000000012</v>
      </c>
    </row>
    <row r="37" spans="1:20">
      <c r="A37" s="108"/>
      <c r="B37" s="50" t="s">
        <v>25</v>
      </c>
      <c r="C37" s="19"/>
      <c r="D37" s="19"/>
      <c r="E37" s="19"/>
      <c r="F37" s="19"/>
      <c r="G37" s="19"/>
      <c r="H37" s="19"/>
      <c r="I37" s="19"/>
      <c r="J37" s="19"/>
      <c r="K37" s="20">
        <v>0.6</v>
      </c>
      <c r="L37" s="20">
        <f t="shared" ref="L37" si="83">K37+5%</f>
        <v>0.65</v>
      </c>
      <c r="M37" s="20">
        <f t="shared" ref="M37" si="84">L37+5%</f>
        <v>0.70000000000000007</v>
      </c>
      <c r="N37" s="20">
        <f t="shared" ref="N37" si="85">M37+5%</f>
        <v>0.75000000000000011</v>
      </c>
      <c r="O37" s="20">
        <f t="shared" ref="O37" si="86">N37+5%</f>
        <v>0.80000000000000016</v>
      </c>
      <c r="P37" s="20">
        <v>0.8</v>
      </c>
      <c r="Q37" s="20">
        <v>0.8</v>
      </c>
      <c r="R37" s="20">
        <v>0.8</v>
      </c>
      <c r="S37" s="20">
        <v>0.8</v>
      </c>
      <c r="T37" s="20">
        <v>0.8</v>
      </c>
    </row>
    <row r="38" spans="1:20">
      <c r="A38" s="108"/>
      <c r="B38" s="50" t="s">
        <v>26</v>
      </c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20">
        <v>0.6</v>
      </c>
      <c r="P38" s="20">
        <f t="shared" ref="P38:P41" si="87">O38+5%</f>
        <v>0.65</v>
      </c>
      <c r="Q38" s="20">
        <f t="shared" ref="Q38:Q41" si="88">P38+5%</f>
        <v>0.70000000000000007</v>
      </c>
      <c r="R38" s="20">
        <f t="shared" ref="R38:R41" si="89">Q38+5%</f>
        <v>0.75000000000000011</v>
      </c>
      <c r="S38" s="20">
        <f t="shared" ref="S38:S41" si="90">R38+5%</f>
        <v>0.80000000000000016</v>
      </c>
      <c r="T38" s="20">
        <v>0.8</v>
      </c>
    </row>
    <row r="39" spans="1:20">
      <c r="A39" s="109"/>
      <c r="B39" s="50" t="s">
        <v>28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20">
        <v>0.6</v>
      </c>
      <c r="P39" s="20">
        <f t="shared" si="87"/>
        <v>0.65</v>
      </c>
      <c r="Q39" s="20">
        <f t="shared" si="88"/>
        <v>0.70000000000000007</v>
      </c>
      <c r="R39" s="20">
        <f t="shared" si="89"/>
        <v>0.75000000000000011</v>
      </c>
      <c r="S39" s="20">
        <f t="shared" si="90"/>
        <v>0.80000000000000016</v>
      </c>
      <c r="T39" s="20">
        <v>0.8</v>
      </c>
    </row>
    <row r="40" spans="1:20">
      <c r="A40" s="107">
        <v>4</v>
      </c>
      <c r="B40" s="51" t="s">
        <v>30</v>
      </c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20">
        <v>0.6</v>
      </c>
      <c r="P40" s="20">
        <f t="shared" si="87"/>
        <v>0.65</v>
      </c>
      <c r="Q40" s="20">
        <f t="shared" si="88"/>
        <v>0.70000000000000007</v>
      </c>
      <c r="R40" s="20">
        <f t="shared" si="89"/>
        <v>0.75000000000000011</v>
      </c>
      <c r="S40" s="20">
        <f t="shared" si="90"/>
        <v>0.80000000000000016</v>
      </c>
      <c r="T40" s="20">
        <v>0.8</v>
      </c>
    </row>
    <row r="41" spans="1:20">
      <c r="A41" s="108"/>
      <c r="B41" s="52" t="s">
        <v>31</v>
      </c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20">
        <v>0.6</v>
      </c>
      <c r="P41" s="20">
        <f t="shared" si="87"/>
        <v>0.65</v>
      </c>
      <c r="Q41" s="20">
        <f t="shared" si="88"/>
        <v>0.70000000000000007</v>
      </c>
      <c r="R41" s="20">
        <f t="shared" si="89"/>
        <v>0.75000000000000011</v>
      </c>
      <c r="S41" s="20">
        <f t="shared" si="90"/>
        <v>0.80000000000000016</v>
      </c>
      <c r="T41" s="20">
        <v>0.8</v>
      </c>
    </row>
    <row r="42" spans="1:20">
      <c r="A42" s="108"/>
      <c r="B42" s="52" t="s">
        <v>32</v>
      </c>
      <c r="C42" s="17">
        <f t="shared" ref="C42:H42" si="91">AVERAGE(C27:C41)</f>
        <v>0.23750000000000002</v>
      </c>
      <c r="D42" s="17">
        <f t="shared" si="91"/>
        <v>0.25750000000000001</v>
      </c>
      <c r="E42" s="17">
        <f t="shared" si="91"/>
        <v>0.27749999999999997</v>
      </c>
      <c r="F42" s="17">
        <f t="shared" si="91"/>
        <v>0.29749999999999999</v>
      </c>
      <c r="G42" s="17">
        <f t="shared" si="91"/>
        <v>0.34625</v>
      </c>
      <c r="H42" s="17">
        <f t="shared" si="91"/>
        <v>0.3725</v>
      </c>
      <c r="I42" s="17">
        <f t="shared" ref="I42:T42" si="92">AVERAGE(I27:I41)</f>
        <v>0.39875000000000005</v>
      </c>
      <c r="J42" s="17">
        <f t="shared" si="92"/>
        <v>0.42500000000000004</v>
      </c>
      <c r="K42" s="17">
        <f t="shared" si="92"/>
        <v>0.45545454545454545</v>
      </c>
      <c r="L42" s="17">
        <f t="shared" si="92"/>
        <v>0.47636363636363638</v>
      </c>
      <c r="M42" s="17">
        <f t="shared" si="92"/>
        <v>0.49727272727272731</v>
      </c>
      <c r="N42" s="17">
        <f t="shared" si="92"/>
        <v>0.51181818181818184</v>
      </c>
      <c r="O42" s="17">
        <f t="shared" si="92"/>
        <v>0.54599999999999993</v>
      </c>
      <c r="P42" s="17">
        <f t="shared" si="92"/>
        <v>0.56333333333333335</v>
      </c>
      <c r="Q42" s="17">
        <f t="shared" si="92"/>
        <v>0.58066666666666655</v>
      </c>
      <c r="R42" s="17">
        <f t="shared" si="92"/>
        <v>0.59599999999999997</v>
      </c>
      <c r="S42" s="17">
        <f t="shared" si="92"/>
        <v>0.61066666666666669</v>
      </c>
      <c r="T42" s="17">
        <f t="shared" si="92"/>
        <v>0.61199999999999999</v>
      </c>
    </row>
    <row r="43" spans="1:20" ht="15" thickBot="1">
      <c r="A43" s="109"/>
      <c r="B43" s="53" t="s">
        <v>29</v>
      </c>
    </row>
    <row r="49" spans="1:46" ht="15" thickBot="1"/>
    <row r="50" spans="1:46">
      <c r="C50" s="121" t="s">
        <v>35</v>
      </c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22"/>
      <c r="AI50" s="122"/>
      <c r="AJ50" s="122"/>
      <c r="AK50" s="122"/>
      <c r="AL50" s="122"/>
      <c r="AM50" s="122"/>
      <c r="AN50" s="122"/>
      <c r="AO50" s="122"/>
      <c r="AP50" s="123"/>
    </row>
    <row r="51" spans="1:46">
      <c r="A51" s="19"/>
      <c r="B51" s="90"/>
      <c r="C51" s="114">
        <v>2023</v>
      </c>
      <c r="D51" s="115"/>
      <c r="E51" s="115"/>
      <c r="F51" s="115"/>
      <c r="G51" s="112">
        <v>2024</v>
      </c>
      <c r="H51" s="112"/>
      <c r="I51" s="112"/>
      <c r="J51" s="112"/>
      <c r="K51" s="116">
        <v>2025</v>
      </c>
      <c r="L51" s="116"/>
      <c r="M51" s="116"/>
      <c r="N51" s="116"/>
      <c r="O51" s="112">
        <v>2026</v>
      </c>
      <c r="P51" s="112"/>
      <c r="Q51" s="112"/>
      <c r="R51" s="112"/>
      <c r="S51" s="111">
        <v>2027</v>
      </c>
      <c r="T51" s="111"/>
      <c r="U51" s="111"/>
      <c r="V51" s="111"/>
      <c r="W51" s="112">
        <v>2028</v>
      </c>
      <c r="X51" s="112"/>
      <c r="Y51" s="112"/>
      <c r="Z51" s="112"/>
      <c r="AA51" s="111">
        <v>2029</v>
      </c>
      <c r="AB51" s="111"/>
      <c r="AC51" s="111"/>
      <c r="AD51" s="111"/>
      <c r="AE51" s="112">
        <v>2030</v>
      </c>
      <c r="AF51" s="112"/>
      <c r="AG51" s="112"/>
      <c r="AH51" s="112"/>
      <c r="AI51" s="111">
        <v>2031</v>
      </c>
      <c r="AJ51" s="111"/>
      <c r="AK51" s="111"/>
      <c r="AL51" s="111"/>
      <c r="AM51" s="112">
        <v>2032</v>
      </c>
      <c r="AN51" s="112"/>
      <c r="AO51" s="112"/>
      <c r="AP51" s="124"/>
      <c r="AQ51" s="110"/>
      <c r="AR51" s="111"/>
      <c r="AS51" s="111"/>
      <c r="AT51" s="111"/>
    </row>
    <row r="52" spans="1:46">
      <c r="A52" s="19"/>
      <c r="B52" s="90"/>
      <c r="C52" s="92">
        <v>1</v>
      </c>
      <c r="D52" s="70">
        <v>2</v>
      </c>
      <c r="E52" s="70">
        <v>3</v>
      </c>
      <c r="F52" s="70">
        <v>4</v>
      </c>
      <c r="G52" s="70">
        <v>1</v>
      </c>
      <c r="H52" s="70">
        <v>2</v>
      </c>
      <c r="I52" s="70">
        <v>3</v>
      </c>
      <c r="J52" s="70">
        <v>4</v>
      </c>
      <c r="K52" s="70">
        <v>1</v>
      </c>
      <c r="L52" s="70">
        <v>2</v>
      </c>
      <c r="M52" s="70">
        <v>3</v>
      </c>
      <c r="N52" s="70">
        <v>4</v>
      </c>
      <c r="O52" s="70">
        <v>1</v>
      </c>
      <c r="P52" s="70">
        <v>2</v>
      </c>
      <c r="Q52" s="70">
        <v>3</v>
      </c>
      <c r="R52" s="70">
        <v>4</v>
      </c>
      <c r="S52" s="70">
        <v>1</v>
      </c>
      <c r="T52" s="70">
        <v>2</v>
      </c>
      <c r="U52" s="70">
        <v>3</v>
      </c>
      <c r="V52" s="70">
        <v>4</v>
      </c>
      <c r="W52" s="70">
        <v>1</v>
      </c>
      <c r="X52" s="70">
        <v>2</v>
      </c>
      <c r="Y52" s="70">
        <v>3</v>
      </c>
      <c r="Z52" s="70">
        <v>4</v>
      </c>
      <c r="AA52" s="70">
        <v>1</v>
      </c>
      <c r="AB52" s="70">
        <v>2</v>
      </c>
      <c r="AC52" s="70">
        <v>3</v>
      </c>
      <c r="AD52" s="70">
        <v>4</v>
      </c>
      <c r="AE52" s="70">
        <v>1</v>
      </c>
      <c r="AF52" s="70">
        <v>2</v>
      </c>
      <c r="AG52" s="70">
        <v>3</v>
      </c>
      <c r="AH52" s="70">
        <v>4</v>
      </c>
      <c r="AI52" s="70">
        <v>1</v>
      </c>
      <c r="AJ52" s="70">
        <v>2</v>
      </c>
      <c r="AK52" s="70">
        <v>3</v>
      </c>
      <c r="AL52" s="70">
        <v>4</v>
      </c>
      <c r="AM52" s="70">
        <v>1</v>
      </c>
      <c r="AN52" s="70">
        <v>2</v>
      </c>
      <c r="AO52" s="70">
        <v>3</v>
      </c>
      <c r="AP52" s="93">
        <v>4</v>
      </c>
      <c r="AQ52" s="91"/>
      <c r="AR52" s="70"/>
      <c r="AS52" s="70"/>
      <c r="AT52" s="70"/>
    </row>
    <row r="53" spans="1:46">
      <c r="A53" s="107">
        <v>1</v>
      </c>
      <c r="B53" s="47" t="s">
        <v>15</v>
      </c>
      <c r="C53" s="94">
        <v>5.7000000000000097E-3</v>
      </c>
      <c r="D53" s="88">
        <v>5.7000000000000071E-3</v>
      </c>
      <c r="E53" s="88">
        <v>5.9000000000000007E-3</v>
      </c>
      <c r="F53" s="88">
        <v>5.9000000000000007E-3</v>
      </c>
      <c r="G53" s="88">
        <v>6.0000000000000001E-3</v>
      </c>
      <c r="H53" s="88">
        <v>6.0000000000000001E-3</v>
      </c>
      <c r="I53" s="88">
        <v>6.0999999999999995E-3</v>
      </c>
      <c r="J53" s="88">
        <v>6.3E-3</v>
      </c>
      <c r="K53" s="88">
        <v>6.5000000000000006E-3</v>
      </c>
      <c r="L53" s="88">
        <v>6.5000000000000006E-3</v>
      </c>
      <c r="M53" s="88">
        <v>6.5000000000000006E-3</v>
      </c>
      <c r="N53" s="88">
        <v>5.1999999999999998E-3</v>
      </c>
      <c r="O53" s="88">
        <v>5.2999999999999992E-3</v>
      </c>
      <c r="P53" s="88">
        <v>5.4999999999999997E-3</v>
      </c>
      <c r="Q53" s="88">
        <v>5.2999999999999992E-3</v>
      </c>
      <c r="R53" s="88">
        <v>5.1999999999999998E-3</v>
      </c>
      <c r="S53" s="88">
        <v>5.1000000000000004E-3</v>
      </c>
      <c r="T53" s="88">
        <v>5.000000000000001E-3</v>
      </c>
      <c r="U53" s="88">
        <v>4.5999999999999999E-3</v>
      </c>
      <c r="V53" s="88">
        <v>4.3E-3</v>
      </c>
      <c r="W53" s="88">
        <v>3.4000000000000002E-3</v>
      </c>
      <c r="X53" s="88">
        <v>2.8999999999999998E-3</v>
      </c>
      <c r="Y53" s="88">
        <v>2.1999999999999997E-3</v>
      </c>
      <c r="Z53" s="88">
        <v>2E-3</v>
      </c>
      <c r="AA53" s="88">
        <v>1.5E-3</v>
      </c>
      <c r="AB53" s="88">
        <v>1.5E-3</v>
      </c>
      <c r="AC53" s="88">
        <v>1.5E-3</v>
      </c>
      <c r="AD53" s="88">
        <v>1.5E-3</v>
      </c>
      <c r="AE53" s="88">
        <v>1.0000000000000018E-3</v>
      </c>
      <c r="AF53" s="88">
        <v>8.000000000000021E-4</v>
      </c>
      <c r="AG53" s="88">
        <v>6.0000000000000244E-4</v>
      </c>
      <c r="AH53" s="88">
        <v>2.0000000000000226E-4</v>
      </c>
      <c r="AI53" s="88">
        <v>2.0000000000000226E-4</v>
      </c>
      <c r="AJ53" s="88">
        <v>2.0000000000000226E-4</v>
      </c>
      <c r="AK53" s="88">
        <v>2.0000000000000226E-4</v>
      </c>
      <c r="AL53" s="88">
        <v>2.0000000000000226E-4</v>
      </c>
      <c r="AM53" s="88">
        <v>2.0000000000000226E-4</v>
      </c>
      <c r="AN53" s="88">
        <v>2.0000000000000226E-4</v>
      </c>
      <c r="AO53" s="88">
        <v>2.0000000000000226E-4</v>
      </c>
      <c r="AP53" s="88"/>
    </row>
    <row r="54" spans="1:46">
      <c r="A54" s="108"/>
      <c r="B54" s="47" t="s">
        <v>17</v>
      </c>
      <c r="C54" s="94">
        <v>5.7000000000000097E-3</v>
      </c>
      <c r="D54" s="94">
        <v>5.7000000000000071E-3</v>
      </c>
      <c r="E54" s="94">
        <v>5.9000000000000007E-3</v>
      </c>
      <c r="F54" s="94">
        <v>5.9000000000000007E-3</v>
      </c>
      <c r="G54" s="94">
        <v>6.0000000000000001E-3</v>
      </c>
      <c r="H54" s="94">
        <v>6.0000000000000001E-3</v>
      </c>
      <c r="I54" s="94">
        <v>6.0999999999999995E-3</v>
      </c>
      <c r="J54" s="94">
        <v>6.3E-3</v>
      </c>
      <c r="K54" s="94">
        <v>6.5000000000000006E-3</v>
      </c>
      <c r="L54" s="94">
        <v>6.5000000000000006E-3</v>
      </c>
      <c r="M54" s="94">
        <v>6.5000000000000006E-3</v>
      </c>
      <c r="N54" s="94">
        <v>5.1999999999999998E-3</v>
      </c>
      <c r="O54" s="94">
        <v>5.2999999999999992E-3</v>
      </c>
      <c r="P54" s="94">
        <v>5.4999999999999997E-3</v>
      </c>
      <c r="Q54" s="94">
        <v>5.2999999999999992E-3</v>
      </c>
      <c r="R54" s="94">
        <v>5.1999999999999998E-3</v>
      </c>
      <c r="S54" s="94">
        <v>5.1000000000000004E-3</v>
      </c>
      <c r="T54" s="94">
        <v>5.000000000000001E-3</v>
      </c>
      <c r="U54" s="94">
        <v>4.5999999999999999E-3</v>
      </c>
      <c r="V54" s="94">
        <v>4.3E-3</v>
      </c>
      <c r="W54" s="94">
        <v>3.4000000000000002E-3</v>
      </c>
      <c r="X54" s="94">
        <v>2.8999999999999998E-3</v>
      </c>
      <c r="Y54" s="94">
        <v>2.1999999999999997E-3</v>
      </c>
      <c r="Z54" s="94">
        <v>2E-3</v>
      </c>
      <c r="AA54" s="88">
        <v>1.5E-3</v>
      </c>
      <c r="AB54" s="88">
        <v>1.5E-3</v>
      </c>
      <c r="AC54" s="88">
        <v>1.5E-3</v>
      </c>
      <c r="AD54" s="88">
        <v>1.5E-3</v>
      </c>
      <c r="AE54" s="94">
        <v>1.0000000000000018E-3</v>
      </c>
      <c r="AF54" s="94">
        <v>8.000000000000021E-4</v>
      </c>
      <c r="AG54" s="94">
        <v>6.0000000000000244E-4</v>
      </c>
      <c r="AH54" s="94">
        <v>2.0000000000000226E-4</v>
      </c>
      <c r="AI54" s="94">
        <v>2.0000000000000226E-4</v>
      </c>
      <c r="AJ54" s="94">
        <v>2.0000000000000226E-4</v>
      </c>
      <c r="AK54" s="94">
        <v>2.0000000000000226E-4</v>
      </c>
      <c r="AL54" s="94">
        <v>2.0000000000000226E-4</v>
      </c>
      <c r="AM54" s="94">
        <v>2.0000000000000226E-4</v>
      </c>
      <c r="AN54" s="94">
        <v>2.0000000000000226E-4</v>
      </c>
      <c r="AO54" s="94">
        <v>2.0000000000000226E-4</v>
      </c>
      <c r="AP54" s="94"/>
    </row>
    <row r="55" spans="1:46">
      <c r="A55" s="108"/>
      <c r="B55" s="47" t="s">
        <v>14</v>
      </c>
      <c r="C55" s="94">
        <v>5.7000000000000097E-3</v>
      </c>
      <c r="D55" s="94">
        <v>5.7000000000000071E-3</v>
      </c>
      <c r="E55" s="94">
        <v>5.9000000000000007E-3</v>
      </c>
      <c r="F55" s="94">
        <v>5.9000000000000007E-3</v>
      </c>
      <c r="G55" s="94">
        <v>6.0000000000000001E-3</v>
      </c>
      <c r="H55" s="94">
        <v>6.0000000000000001E-3</v>
      </c>
      <c r="I55" s="94">
        <v>6.0999999999999995E-3</v>
      </c>
      <c r="J55" s="94">
        <v>6.3E-3</v>
      </c>
      <c r="K55" s="94">
        <v>6.5000000000000006E-3</v>
      </c>
      <c r="L55" s="94">
        <v>6.5000000000000006E-3</v>
      </c>
      <c r="M55" s="94">
        <v>6.5000000000000006E-3</v>
      </c>
      <c r="N55" s="94">
        <v>5.1999999999999998E-3</v>
      </c>
      <c r="O55" s="94">
        <v>5.2999999999999992E-3</v>
      </c>
      <c r="P55" s="94">
        <v>5.4999999999999997E-3</v>
      </c>
      <c r="Q55" s="94">
        <v>5.2999999999999992E-3</v>
      </c>
      <c r="R55" s="94">
        <v>5.1999999999999998E-3</v>
      </c>
      <c r="S55" s="94">
        <v>5.1000000000000004E-3</v>
      </c>
      <c r="T55" s="94">
        <v>5.000000000000001E-3</v>
      </c>
      <c r="U55" s="94">
        <v>4.5999999999999999E-3</v>
      </c>
      <c r="V55" s="94">
        <v>4.3E-3</v>
      </c>
      <c r="W55" s="94">
        <v>3.4000000000000002E-3</v>
      </c>
      <c r="X55" s="94">
        <v>2.8999999999999998E-3</v>
      </c>
      <c r="Y55" s="94">
        <v>2.1999999999999997E-3</v>
      </c>
      <c r="Z55" s="94">
        <v>2E-3</v>
      </c>
      <c r="AA55" s="88">
        <v>1.5E-3</v>
      </c>
      <c r="AB55" s="88">
        <v>1.5E-3</v>
      </c>
      <c r="AC55" s="88">
        <v>1.5E-3</v>
      </c>
      <c r="AD55" s="88">
        <v>1.5E-3</v>
      </c>
      <c r="AE55" s="94">
        <v>1.0000000000000018E-3</v>
      </c>
      <c r="AF55" s="94">
        <v>8.000000000000021E-4</v>
      </c>
      <c r="AG55" s="94">
        <v>6.0000000000000244E-4</v>
      </c>
      <c r="AH55" s="94">
        <v>2.0000000000000226E-4</v>
      </c>
      <c r="AI55" s="94">
        <v>2.0000000000000226E-4</v>
      </c>
      <c r="AJ55" s="94">
        <v>2.0000000000000226E-4</v>
      </c>
      <c r="AK55" s="94">
        <v>2.0000000000000226E-4</v>
      </c>
      <c r="AL55" s="94">
        <v>2.0000000000000226E-4</v>
      </c>
      <c r="AM55" s="94">
        <v>2.0000000000000226E-4</v>
      </c>
      <c r="AN55" s="94">
        <v>2.0000000000000226E-4</v>
      </c>
      <c r="AO55" s="94">
        <v>2.0000000000000226E-4</v>
      </c>
      <c r="AP55" s="94"/>
    </row>
    <row r="56" spans="1:46">
      <c r="A56" s="108"/>
      <c r="B56" s="47" t="s">
        <v>16</v>
      </c>
      <c r="C56" s="94">
        <v>5.7000000000000097E-3</v>
      </c>
      <c r="D56" s="94">
        <v>5.7000000000000071E-3</v>
      </c>
      <c r="E56" s="94">
        <v>5.9000000000000007E-3</v>
      </c>
      <c r="F56" s="94">
        <v>5.9000000000000007E-3</v>
      </c>
      <c r="G56" s="94">
        <v>6.0000000000000001E-3</v>
      </c>
      <c r="H56" s="94">
        <v>6.0000000000000001E-3</v>
      </c>
      <c r="I56" s="94">
        <v>6.0999999999999995E-3</v>
      </c>
      <c r="J56" s="94">
        <v>6.3E-3</v>
      </c>
      <c r="K56" s="94">
        <v>6.5000000000000006E-3</v>
      </c>
      <c r="L56" s="94">
        <v>6.5000000000000006E-3</v>
      </c>
      <c r="M56" s="94">
        <v>6.5000000000000006E-3</v>
      </c>
      <c r="N56" s="94">
        <v>5.1999999999999998E-3</v>
      </c>
      <c r="O56" s="94">
        <v>5.2999999999999992E-3</v>
      </c>
      <c r="P56" s="94">
        <v>5.4999999999999997E-3</v>
      </c>
      <c r="Q56" s="94">
        <v>5.2999999999999992E-3</v>
      </c>
      <c r="R56" s="94">
        <v>5.1999999999999998E-3</v>
      </c>
      <c r="S56" s="94">
        <v>5.1000000000000004E-3</v>
      </c>
      <c r="T56" s="94">
        <v>5.000000000000001E-3</v>
      </c>
      <c r="U56" s="94">
        <v>4.5999999999999999E-3</v>
      </c>
      <c r="V56" s="94">
        <v>4.3E-3</v>
      </c>
      <c r="W56" s="94">
        <v>3.4000000000000002E-3</v>
      </c>
      <c r="X56" s="94">
        <v>2.8999999999999998E-3</v>
      </c>
      <c r="Y56" s="94">
        <v>2.1999999999999997E-3</v>
      </c>
      <c r="Z56" s="94">
        <v>2E-3</v>
      </c>
      <c r="AA56" s="88">
        <v>1.5E-3</v>
      </c>
      <c r="AB56" s="88">
        <v>1.5E-3</v>
      </c>
      <c r="AC56" s="88">
        <v>1.5E-3</v>
      </c>
      <c r="AD56" s="88">
        <v>1.5E-3</v>
      </c>
      <c r="AE56" s="94">
        <v>1.0000000000000018E-3</v>
      </c>
      <c r="AF56" s="94">
        <v>8.000000000000021E-4</v>
      </c>
      <c r="AG56" s="94">
        <v>6.0000000000000244E-4</v>
      </c>
      <c r="AH56" s="94">
        <v>2.0000000000000226E-4</v>
      </c>
      <c r="AI56" s="94">
        <v>2.0000000000000226E-4</v>
      </c>
      <c r="AJ56" s="94">
        <v>2.0000000000000226E-4</v>
      </c>
      <c r="AK56" s="94">
        <v>2.0000000000000226E-4</v>
      </c>
      <c r="AL56" s="94">
        <v>2.0000000000000226E-4</v>
      </c>
      <c r="AM56" s="94">
        <v>2.0000000000000226E-4</v>
      </c>
      <c r="AN56" s="94">
        <v>2.0000000000000226E-4</v>
      </c>
      <c r="AO56" s="94">
        <v>2.0000000000000226E-4</v>
      </c>
      <c r="AP56" s="94"/>
    </row>
    <row r="57" spans="1:46">
      <c r="A57" s="109"/>
      <c r="B57" s="47" t="s">
        <v>18</v>
      </c>
      <c r="C57" s="94">
        <v>5.7000000000000097E-3</v>
      </c>
      <c r="D57" s="94">
        <v>5.7000000000000071E-3</v>
      </c>
      <c r="E57" s="94">
        <v>5.9000000000000007E-3</v>
      </c>
      <c r="F57" s="94">
        <v>5.9000000000000007E-3</v>
      </c>
      <c r="G57" s="94">
        <v>6.0000000000000001E-3</v>
      </c>
      <c r="H57" s="94">
        <v>6.0000000000000001E-3</v>
      </c>
      <c r="I57" s="94">
        <v>6.0999999999999995E-3</v>
      </c>
      <c r="J57" s="94">
        <v>6.3E-3</v>
      </c>
      <c r="K57" s="94">
        <v>6.5000000000000006E-3</v>
      </c>
      <c r="L57" s="94">
        <v>6.5000000000000006E-3</v>
      </c>
      <c r="M57" s="94">
        <v>6.5000000000000006E-3</v>
      </c>
      <c r="N57" s="94">
        <v>5.1999999999999998E-3</v>
      </c>
      <c r="O57" s="94">
        <v>5.2999999999999992E-3</v>
      </c>
      <c r="P57" s="94">
        <v>5.4999999999999997E-3</v>
      </c>
      <c r="Q57" s="94">
        <v>5.2999999999999992E-3</v>
      </c>
      <c r="R57" s="94">
        <v>5.1999999999999998E-3</v>
      </c>
      <c r="S57" s="94">
        <v>5.1000000000000004E-3</v>
      </c>
      <c r="T57" s="94">
        <v>5.000000000000001E-3</v>
      </c>
      <c r="U57" s="94">
        <v>4.5999999999999999E-3</v>
      </c>
      <c r="V57" s="94">
        <v>4.3E-3</v>
      </c>
      <c r="W57" s="94">
        <v>3.4000000000000002E-3</v>
      </c>
      <c r="X57" s="94">
        <v>2.8999999999999998E-3</v>
      </c>
      <c r="Y57" s="94">
        <v>2.1999999999999997E-3</v>
      </c>
      <c r="Z57" s="94">
        <v>2E-3</v>
      </c>
      <c r="AA57" s="88">
        <v>1.5E-3</v>
      </c>
      <c r="AB57" s="88">
        <v>1.5E-3</v>
      </c>
      <c r="AC57" s="88">
        <v>1.5E-3</v>
      </c>
      <c r="AD57" s="88">
        <v>1.5E-3</v>
      </c>
      <c r="AE57" s="94">
        <v>1.0000000000000018E-3</v>
      </c>
      <c r="AF57" s="94">
        <v>8.000000000000021E-4</v>
      </c>
      <c r="AG57" s="94">
        <v>6.0000000000000244E-4</v>
      </c>
      <c r="AH57" s="94">
        <v>2.0000000000000226E-4</v>
      </c>
      <c r="AI57" s="94">
        <v>2.0000000000000226E-4</v>
      </c>
      <c r="AJ57" s="94">
        <v>2.0000000000000226E-4</v>
      </c>
      <c r="AK57" s="94">
        <v>2.0000000000000226E-4</v>
      </c>
      <c r="AL57" s="94">
        <v>2.0000000000000226E-4</v>
      </c>
      <c r="AM57" s="94">
        <v>2.0000000000000226E-4</v>
      </c>
      <c r="AN57" s="94">
        <v>2.0000000000000226E-4</v>
      </c>
      <c r="AO57" s="94">
        <v>2.0000000000000226E-4</v>
      </c>
      <c r="AP57" s="94"/>
    </row>
    <row r="58" spans="1:46">
      <c r="A58" s="107">
        <v>2</v>
      </c>
      <c r="B58" s="48" t="s">
        <v>20</v>
      </c>
      <c r="C58" s="94">
        <v>5.6000000000000069E-3</v>
      </c>
      <c r="D58" s="88">
        <v>5.6000000000000069E-3</v>
      </c>
      <c r="E58" s="88">
        <v>5.8000000000000005E-3</v>
      </c>
      <c r="F58" s="88">
        <v>5.8000000000000005E-3</v>
      </c>
      <c r="G58" s="88">
        <v>5.9000000000000007E-3</v>
      </c>
      <c r="H58" s="88">
        <v>5.9000000000000007E-3</v>
      </c>
      <c r="I58" s="88">
        <v>6.0000000000000001E-3</v>
      </c>
      <c r="J58" s="88">
        <v>6.2000000000000006E-3</v>
      </c>
      <c r="K58" s="88">
        <v>6.4000000000000012E-3</v>
      </c>
      <c r="L58" s="88">
        <v>6.4000000000000012E-3</v>
      </c>
      <c r="M58" s="88">
        <v>6.4000000000000012E-3</v>
      </c>
      <c r="N58" s="88">
        <v>5.1000000000000004E-3</v>
      </c>
      <c r="O58" s="88">
        <v>5.1999999999999998E-3</v>
      </c>
      <c r="P58" s="88">
        <v>5.4000000000000003E-3</v>
      </c>
      <c r="Q58" s="88">
        <v>5.1999999999999998E-3</v>
      </c>
      <c r="R58" s="88">
        <v>5.1000000000000004E-3</v>
      </c>
      <c r="S58" s="88">
        <v>5.000000000000001E-3</v>
      </c>
      <c r="T58" s="88">
        <v>4.9000000000000016E-3</v>
      </c>
      <c r="U58" s="88">
        <v>4.5000000000000005E-3</v>
      </c>
      <c r="V58" s="88">
        <v>4.2000000000000006E-3</v>
      </c>
      <c r="W58" s="88">
        <v>3.3E-3</v>
      </c>
      <c r="X58" s="88">
        <v>2.7999999999999995E-3</v>
      </c>
      <c r="Y58" s="88">
        <v>2.0999999999999994E-3</v>
      </c>
      <c r="Z58" s="88">
        <v>1.8999999999999998E-3</v>
      </c>
      <c r="AA58" s="88">
        <v>1.6000000000000001E-3</v>
      </c>
      <c r="AB58" s="88">
        <v>1.6000000000000001E-3</v>
      </c>
      <c r="AC58" s="88">
        <v>1.6000000000000001E-3</v>
      </c>
      <c r="AD58" s="88">
        <v>1.6000000000000001E-3</v>
      </c>
      <c r="AE58" s="88">
        <v>9.0000000000000149E-4</v>
      </c>
      <c r="AF58" s="88">
        <v>7.0000000000000184E-4</v>
      </c>
      <c r="AG58" s="88">
        <v>5.0000000000000218E-4</v>
      </c>
      <c r="AH58" s="88">
        <v>1.00000000000002E-4</v>
      </c>
      <c r="AI58" s="88">
        <v>0</v>
      </c>
      <c r="AJ58" s="88">
        <v>0</v>
      </c>
      <c r="AK58" s="88">
        <v>0</v>
      </c>
      <c r="AL58" s="88">
        <v>0</v>
      </c>
      <c r="AM58" s="88">
        <v>0</v>
      </c>
      <c r="AN58" s="88">
        <v>0</v>
      </c>
      <c r="AO58" s="88">
        <v>0</v>
      </c>
      <c r="AP58" s="95"/>
    </row>
    <row r="59" spans="1:46">
      <c r="A59" s="108"/>
      <c r="B59" s="48" t="s">
        <v>19</v>
      </c>
      <c r="C59" s="94">
        <v>5.6000000000000069E-3</v>
      </c>
      <c r="D59" s="88">
        <v>5.6000000000000069E-3</v>
      </c>
      <c r="E59" s="88">
        <v>5.8000000000000005E-3</v>
      </c>
      <c r="F59" s="88">
        <v>5.8000000000000005E-3</v>
      </c>
      <c r="G59" s="88">
        <v>5.9000000000000007E-3</v>
      </c>
      <c r="H59" s="88">
        <v>5.9000000000000007E-3</v>
      </c>
      <c r="I59" s="88">
        <v>6.0000000000000001E-3</v>
      </c>
      <c r="J59" s="88">
        <v>6.2000000000000006E-3</v>
      </c>
      <c r="K59" s="88">
        <v>6.4000000000000012E-3</v>
      </c>
      <c r="L59" s="88">
        <v>6.4000000000000012E-3</v>
      </c>
      <c r="M59" s="88">
        <v>6.4000000000000012E-3</v>
      </c>
      <c r="N59" s="88">
        <v>5.1000000000000004E-3</v>
      </c>
      <c r="O59" s="88">
        <v>5.1999999999999998E-3</v>
      </c>
      <c r="P59" s="88">
        <v>5.4000000000000003E-3</v>
      </c>
      <c r="Q59" s="88">
        <v>5.1999999999999998E-3</v>
      </c>
      <c r="R59" s="88">
        <v>5.1000000000000004E-3</v>
      </c>
      <c r="S59" s="88">
        <v>5.000000000000001E-3</v>
      </c>
      <c r="T59" s="88">
        <v>4.9000000000000016E-3</v>
      </c>
      <c r="U59" s="88">
        <v>4.5000000000000005E-3</v>
      </c>
      <c r="V59" s="88">
        <v>4.2000000000000006E-3</v>
      </c>
      <c r="W59" s="88">
        <v>3.3E-3</v>
      </c>
      <c r="X59" s="88">
        <v>2.7999999999999995E-3</v>
      </c>
      <c r="Y59" s="88">
        <v>2.0999999999999994E-3</v>
      </c>
      <c r="Z59" s="88">
        <v>1.8999999999999998E-3</v>
      </c>
      <c r="AA59" s="88">
        <v>1.6000000000000001E-3</v>
      </c>
      <c r="AB59" s="88">
        <v>1.6000000000000001E-3</v>
      </c>
      <c r="AC59" s="88">
        <v>1.6000000000000001E-3</v>
      </c>
      <c r="AD59" s="88">
        <v>1.6000000000000001E-3</v>
      </c>
      <c r="AE59" s="88">
        <v>9.0000000000000149E-4</v>
      </c>
      <c r="AF59" s="88">
        <v>7.0000000000000184E-4</v>
      </c>
      <c r="AG59" s="88">
        <v>5.0000000000000218E-4</v>
      </c>
      <c r="AH59" s="88">
        <v>1.00000000000002E-4</v>
      </c>
      <c r="AI59" s="88">
        <v>0</v>
      </c>
      <c r="AJ59" s="88">
        <v>0</v>
      </c>
      <c r="AK59" s="88">
        <v>0</v>
      </c>
      <c r="AL59" s="88">
        <v>0</v>
      </c>
      <c r="AM59" s="88">
        <v>0</v>
      </c>
      <c r="AN59" s="88">
        <v>0</v>
      </c>
      <c r="AO59" s="88">
        <v>0</v>
      </c>
      <c r="AP59" s="95"/>
    </row>
    <row r="60" spans="1:46">
      <c r="A60" s="108"/>
      <c r="B60" s="48" t="s">
        <v>21</v>
      </c>
      <c r="C60" s="94">
        <v>5.6000000000000069E-3</v>
      </c>
      <c r="D60" s="88">
        <v>5.6000000000000069E-3</v>
      </c>
      <c r="E60" s="88">
        <v>5.8000000000000005E-3</v>
      </c>
      <c r="F60" s="88">
        <v>5.8000000000000005E-3</v>
      </c>
      <c r="G60" s="88">
        <v>5.9000000000000007E-3</v>
      </c>
      <c r="H60" s="88">
        <v>5.9000000000000007E-3</v>
      </c>
      <c r="I60" s="88">
        <v>6.0000000000000001E-3</v>
      </c>
      <c r="J60" s="88">
        <v>6.2000000000000006E-3</v>
      </c>
      <c r="K60" s="88">
        <v>6.4000000000000012E-3</v>
      </c>
      <c r="L60" s="88">
        <v>6.4000000000000012E-3</v>
      </c>
      <c r="M60" s="88">
        <v>6.4000000000000012E-3</v>
      </c>
      <c r="N60" s="88">
        <v>5.1000000000000004E-3</v>
      </c>
      <c r="O60" s="88">
        <v>5.1999999999999998E-3</v>
      </c>
      <c r="P60" s="88">
        <v>5.4000000000000003E-3</v>
      </c>
      <c r="Q60" s="88">
        <v>5.1999999999999998E-3</v>
      </c>
      <c r="R60" s="88">
        <v>5.1000000000000004E-3</v>
      </c>
      <c r="S60" s="88">
        <v>5.000000000000001E-3</v>
      </c>
      <c r="T60" s="88">
        <v>4.9000000000000016E-3</v>
      </c>
      <c r="U60" s="88">
        <v>4.5000000000000005E-3</v>
      </c>
      <c r="V60" s="88">
        <v>4.2000000000000006E-3</v>
      </c>
      <c r="W60" s="88">
        <v>3.3E-3</v>
      </c>
      <c r="X60" s="88">
        <v>2.7999999999999995E-3</v>
      </c>
      <c r="Y60" s="88">
        <v>2.0999999999999994E-3</v>
      </c>
      <c r="Z60" s="88">
        <v>1.8999999999999998E-3</v>
      </c>
      <c r="AA60" s="88">
        <v>1.6000000000000001E-3</v>
      </c>
      <c r="AB60" s="88">
        <v>1.6000000000000001E-3</v>
      </c>
      <c r="AC60" s="88">
        <v>1.6000000000000001E-3</v>
      </c>
      <c r="AD60" s="88">
        <v>1.6000000000000001E-3</v>
      </c>
      <c r="AE60" s="88">
        <v>9.0000000000000149E-4</v>
      </c>
      <c r="AF60" s="88">
        <v>7.0000000000000184E-4</v>
      </c>
      <c r="AG60" s="88">
        <v>5.0000000000000218E-4</v>
      </c>
      <c r="AH60" s="88">
        <v>1.00000000000002E-4</v>
      </c>
      <c r="AI60" s="88">
        <v>0</v>
      </c>
      <c r="AJ60" s="88">
        <v>0</v>
      </c>
      <c r="AK60" s="88">
        <v>0</v>
      </c>
      <c r="AL60" s="88">
        <v>0</v>
      </c>
      <c r="AM60" s="88">
        <v>0</v>
      </c>
      <c r="AN60" s="88">
        <v>0</v>
      </c>
      <c r="AO60" s="88">
        <v>0</v>
      </c>
      <c r="AP60" s="95"/>
    </row>
    <row r="61" spans="1:46">
      <c r="A61" s="109"/>
      <c r="B61" s="49" t="s">
        <v>22</v>
      </c>
      <c r="C61" s="94">
        <v>5.6000000000000069E-3</v>
      </c>
      <c r="D61" s="88">
        <v>5.6000000000000069E-3</v>
      </c>
      <c r="E61" s="88">
        <v>5.8000000000000005E-3</v>
      </c>
      <c r="F61" s="88">
        <v>5.8000000000000005E-3</v>
      </c>
      <c r="G61" s="88">
        <v>5.9000000000000007E-3</v>
      </c>
      <c r="H61" s="88">
        <v>5.9000000000000007E-3</v>
      </c>
      <c r="I61" s="88">
        <v>6.0000000000000001E-3</v>
      </c>
      <c r="J61" s="88">
        <v>6.2000000000000006E-3</v>
      </c>
      <c r="K61" s="88">
        <v>6.4000000000000012E-3</v>
      </c>
      <c r="L61" s="88">
        <v>6.4000000000000012E-3</v>
      </c>
      <c r="M61" s="88">
        <v>6.4000000000000012E-3</v>
      </c>
      <c r="N61" s="88">
        <v>5.1000000000000004E-3</v>
      </c>
      <c r="O61" s="88">
        <v>5.1999999999999998E-3</v>
      </c>
      <c r="P61" s="88">
        <v>5.4000000000000003E-3</v>
      </c>
      <c r="Q61" s="88">
        <v>5.1999999999999998E-3</v>
      </c>
      <c r="R61" s="88">
        <v>5.1000000000000004E-3</v>
      </c>
      <c r="S61" s="88">
        <v>5.000000000000001E-3</v>
      </c>
      <c r="T61" s="88">
        <v>4.9000000000000016E-3</v>
      </c>
      <c r="U61" s="88">
        <v>4.5000000000000005E-3</v>
      </c>
      <c r="V61" s="88">
        <v>4.2000000000000006E-3</v>
      </c>
      <c r="W61" s="88">
        <v>3.3E-3</v>
      </c>
      <c r="X61" s="88">
        <v>2.7999999999999995E-3</v>
      </c>
      <c r="Y61" s="88">
        <v>2.0999999999999994E-3</v>
      </c>
      <c r="Z61" s="88">
        <v>1.8999999999999998E-3</v>
      </c>
      <c r="AA61" s="88">
        <v>1.6000000000000001E-3</v>
      </c>
      <c r="AB61" s="88">
        <v>1.6000000000000001E-3</v>
      </c>
      <c r="AC61" s="88">
        <v>1.6000000000000001E-3</v>
      </c>
      <c r="AD61" s="88">
        <v>1.6000000000000001E-3</v>
      </c>
      <c r="AE61" s="88">
        <v>9.0000000000000149E-4</v>
      </c>
      <c r="AF61" s="88">
        <v>7.0000000000000184E-4</v>
      </c>
      <c r="AG61" s="88">
        <v>5.0000000000000218E-4</v>
      </c>
      <c r="AH61" s="88">
        <v>1.00000000000002E-4</v>
      </c>
      <c r="AI61" s="88">
        <v>0</v>
      </c>
      <c r="AJ61" s="88">
        <v>0</v>
      </c>
      <c r="AK61" s="88">
        <v>0</v>
      </c>
      <c r="AL61" s="88">
        <v>0</v>
      </c>
      <c r="AM61" s="88">
        <v>0</v>
      </c>
      <c r="AN61" s="88">
        <v>0</v>
      </c>
      <c r="AO61" s="88">
        <v>0</v>
      </c>
      <c r="AP61" s="95"/>
    </row>
    <row r="62" spans="1:46">
      <c r="A62" s="107">
        <v>3</v>
      </c>
      <c r="B62" s="50" t="s">
        <v>24</v>
      </c>
      <c r="C62" s="99"/>
      <c r="D62" s="100"/>
      <c r="E62" s="100"/>
      <c r="F62" s="100"/>
      <c r="G62" s="100"/>
      <c r="H62" s="100"/>
      <c r="I62" s="100"/>
      <c r="J62" s="88">
        <v>0</v>
      </c>
      <c r="K62" s="88">
        <v>5.0000000000000001E-3</v>
      </c>
      <c r="L62" s="88">
        <f>K62+0.01%</f>
        <v>5.1000000000000004E-3</v>
      </c>
      <c r="M62" s="88">
        <f t="shared" ref="M62:N62" si="93">L62+0.01%</f>
        <v>5.2000000000000006E-3</v>
      </c>
      <c r="N62" s="88">
        <f t="shared" si="93"/>
        <v>5.3000000000000009E-3</v>
      </c>
      <c r="O62" s="88">
        <v>5.3000000000000009E-3</v>
      </c>
      <c r="P62" s="88">
        <v>5.3000000000000009E-3</v>
      </c>
      <c r="Q62" s="88">
        <v>5.3000000000000009E-3</v>
      </c>
      <c r="R62" s="88">
        <v>5.3000000000000009E-3</v>
      </c>
      <c r="S62" s="88">
        <v>5.2000000000000006E-3</v>
      </c>
      <c r="T62" s="88">
        <v>5.2000000000000006E-3</v>
      </c>
      <c r="U62" s="88">
        <v>5.2000000000000006E-3</v>
      </c>
      <c r="V62" s="88">
        <v>5.0000000000000001E-3</v>
      </c>
      <c r="W62" s="88">
        <v>5.0000000000000001E-3</v>
      </c>
      <c r="X62" s="88">
        <v>5.0000000000000001E-3</v>
      </c>
      <c r="Y62" s="88">
        <v>5.0000000000000001E-3</v>
      </c>
      <c r="Z62" s="88">
        <v>4.5999999999999999E-3</v>
      </c>
      <c r="AA62" s="88">
        <v>4.5999999999999999E-3</v>
      </c>
      <c r="AB62" s="88">
        <v>4.5999999999999999E-3</v>
      </c>
      <c r="AC62" s="88">
        <f>AB62-0.04%</f>
        <v>4.1999999999999997E-3</v>
      </c>
      <c r="AD62" s="88">
        <f t="shared" ref="AD62:AH62" si="94">AC62-0.07%</f>
        <v>3.4999999999999996E-3</v>
      </c>
      <c r="AE62" s="88">
        <f t="shared" si="94"/>
        <v>2.7999999999999995E-3</v>
      </c>
      <c r="AF62" s="88">
        <f t="shared" si="94"/>
        <v>2.0999999999999994E-3</v>
      </c>
      <c r="AG62" s="88">
        <f t="shared" si="94"/>
        <v>1.3999999999999993E-3</v>
      </c>
      <c r="AH62" s="88">
        <f t="shared" si="94"/>
        <v>6.9999999999999923E-4</v>
      </c>
      <c r="AI62" s="88">
        <v>1.5999999999999938E-3</v>
      </c>
      <c r="AJ62" s="88">
        <v>1.0999999999999933E-3</v>
      </c>
      <c r="AK62" s="88">
        <v>5.999999999999929E-4</v>
      </c>
      <c r="AL62" s="88">
        <v>9.9999999999992456E-5</v>
      </c>
      <c r="AM62" s="88">
        <v>0</v>
      </c>
      <c r="AN62" s="88">
        <v>0</v>
      </c>
      <c r="AO62" s="88">
        <v>0</v>
      </c>
      <c r="AP62" s="88"/>
    </row>
    <row r="63" spans="1:46">
      <c r="A63" s="108"/>
      <c r="B63" s="50" t="s">
        <v>25</v>
      </c>
      <c r="C63" s="99"/>
      <c r="D63" s="100"/>
      <c r="E63" s="100"/>
      <c r="F63" s="100"/>
      <c r="G63" s="100"/>
      <c r="H63" s="100"/>
      <c r="I63" s="100"/>
      <c r="J63" s="88"/>
      <c r="K63" s="88">
        <v>5.0000000000000001E-3</v>
      </c>
      <c r="L63" s="88">
        <f t="shared" ref="L63:N65" si="95">K63+0.01%</f>
        <v>5.1000000000000004E-3</v>
      </c>
      <c r="M63" s="88">
        <f t="shared" si="95"/>
        <v>5.2000000000000006E-3</v>
      </c>
      <c r="N63" s="88">
        <f t="shared" si="95"/>
        <v>5.3000000000000009E-3</v>
      </c>
      <c r="O63" s="88">
        <v>5.3000000000000009E-3</v>
      </c>
      <c r="P63" s="88">
        <v>5.3000000000000009E-3</v>
      </c>
      <c r="Q63" s="88">
        <v>5.3000000000000009E-3</v>
      </c>
      <c r="R63" s="88">
        <v>5.3000000000000009E-3</v>
      </c>
      <c r="S63" s="88">
        <v>5.2000000000000006E-3</v>
      </c>
      <c r="T63" s="88">
        <v>5.2000000000000006E-3</v>
      </c>
      <c r="U63" s="88">
        <v>5.2000000000000006E-3</v>
      </c>
      <c r="V63" s="88">
        <v>5.0000000000000001E-3</v>
      </c>
      <c r="W63" s="88">
        <v>5.0000000000000001E-3</v>
      </c>
      <c r="X63" s="88">
        <v>5.0000000000000001E-3</v>
      </c>
      <c r="Y63" s="88">
        <v>5.0000000000000001E-3</v>
      </c>
      <c r="Z63" s="88">
        <v>4.5999999999999999E-3</v>
      </c>
      <c r="AA63" s="88">
        <v>4.5999999999999999E-3</v>
      </c>
      <c r="AB63" s="88">
        <v>4.5999999999999999E-3</v>
      </c>
      <c r="AC63" s="88">
        <f t="shared" ref="AC63:AC65" si="96">AB63-0.04%</f>
        <v>4.1999999999999997E-3</v>
      </c>
      <c r="AD63" s="88">
        <f t="shared" ref="AD63:AH65" si="97">AC63-0.07%</f>
        <v>3.4999999999999996E-3</v>
      </c>
      <c r="AE63" s="88">
        <f t="shared" si="97"/>
        <v>2.7999999999999995E-3</v>
      </c>
      <c r="AF63" s="88">
        <f t="shared" si="97"/>
        <v>2.0999999999999994E-3</v>
      </c>
      <c r="AG63" s="88">
        <f t="shared" si="97"/>
        <v>1.3999999999999993E-3</v>
      </c>
      <c r="AH63" s="88">
        <f t="shared" si="97"/>
        <v>6.9999999999999923E-4</v>
      </c>
      <c r="AI63" s="88">
        <v>1.5999999999999938E-3</v>
      </c>
      <c r="AJ63" s="88">
        <v>1.0999999999999933E-3</v>
      </c>
      <c r="AK63" s="88">
        <v>5.999999999999929E-4</v>
      </c>
      <c r="AL63" s="88">
        <v>9.9999999999992456E-5</v>
      </c>
      <c r="AM63" s="88">
        <v>0</v>
      </c>
      <c r="AN63" s="88">
        <v>0</v>
      </c>
      <c r="AO63" s="88">
        <v>0</v>
      </c>
      <c r="AP63" s="88"/>
    </row>
    <row r="64" spans="1:46">
      <c r="A64" s="108"/>
      <c r="B64" s="50" t="s">
        <v>26</v>
      </c>
      <c r="C64" s="99"/>
      <c r="D64" s="100"/>
      <c r="E64" s="100"/>
      <c r="F64" s="100"/>
      <c r="G64" s="100"/>
      <c r="H64" s="100"/>
      <c r="I64" s="100"/>
      <c r="J64" s="88"/>
      <c r="K64" s="88">
        <v>5.0000000000000001E-3</v>
      </c>
      <c r="L64" s="88">
        <f t="shared" si="95"/>
        <v>5.1000000000000004E-3</v>
      </c>
      <c r="M64" s="88">
        <f t="shared" si="95"/>
        <v>5.2000000000000006E-3</v>
      </c>
      <c r="N64" s="88">
        <f t="shared" si="95"/>
        <v>5.3000000000000009E-3</v>
      </c>
      <c r="O64" s="88">
        <v>5.3000000000000009E-3</v>
      </c>
      <c r="P64" s="88">
        <v>5.3000000000000009E-3</v>
      </c>
      <c r="Q64" s="88">
        <v>5.3000000000000009E-3</v>
      </c>
      <c r="R64" s="88">
        <v>5.3000000000000009E-3</v>
      </c>
      <c r="S64" s="88">
        <v>5.2000000000000006E-3</v>
      </c>
      <c r="T64" s="88">
        <v>5.2000000000000006E-3</v>
      </c>
      <c r="U64" s="88">
        <v>5.2000000000000006E-3</v>
      </c>
      <c r="V64" s="88">
        <v>5.0000000000000001E-3</v>
      </c>
      <c r="W64" s="88">
        <v>5.0000000000000001E-3</v>
      </c>
      <c r="X64" s="88">
        <v>5.0000000000000001E-3</v>
      </c>
      <c r="Y64" s="88">
        <v>5.0000000000000001E-3</v>
      </c>
      <c r="Z64" s="88">
        <v>4.5999999999999999E-3</v>
      </c>
      <c r="AA64" s="88">
        <v>4.5999999999999999E-3</v>
      </c>
      <c r="AB64" s="88">
        <v>4.5999999999999999E-3</v>
      </c>
      <c r="AC64" s="88">
        <f t="shared" si="96"/>
        <v>4.1999999999999997E-3</v>
      </c>
      <c r="AD64" s="88">
        <f t="shared" si="97"/>
        <v>3.4999999999999996E-3</v>
      </c>
      <c r="AE64" s="88">
        <f t="shared" si="97"/>
        <v>2.7999999999999995E-3</v>
      </c>
      <c r="AF64" s="88">
        <f t="shared" si="97"/>
        <v>2.0999999999999994E-3</v>
      </c>
      <c r="AG64" s="88">
        <f t="shared" si="97"/>
        <v>1.3999999999999993E-3</v>
      </c>
      <c r="AH64" s="88">
        <f t="shared" si="97"/>
        <v>6.9999999999999923E-4</v>
      </c>
      <c r="AI64" s="88">
        <v>1.5999999999999938E-3</v>
      </c>
      <c r="AJ64" s="88">
        <v>1.0999999999999933E-3</v>
      </c>
      <c r="AK64" s="88">
        <v>5.999999999999929E-4</v>
      </c>
      <c r="AL64" s="88">
        <v>9.9999999999992456E-5</v>
      </c>
      <c r="AM64" s="88">
        <v>0</v>
      </c>
      <c r="AN64" s="88">
        <v>0</v>
      </c>
      <c r="AO64" s="88">
        <v>0</v>
      </c>
      <c r="AP64" s="88"/>
    </row>
    <row r="65" spans="1:42">
      <c r="A65" s="109"/>
      <c r="B65" s="50" t="s">
        <v>28</v>
      </c>
      <c r="C65" s="99"/>
      <c r="D65" s="100"/>
      <c r="E65" s="100"/>
      <c r="F65" s="100"/>
      <c r="G65" s="100"/>
      <c r="H65" s="100"/>
      <c r="I65" s="100"/>
      <c r="J65" s="88"/>
      <c r="K65" s="88">
        <v>5.0000000000000001E-3</v>
      </c>
      <c r="L65" s="88">
        <f t="shared" si="95"/>
        <v>5.1000000000000004E-3</v>
      </c>
      <c r="M65" s="88">
        <f t="shared" si="95"/>
        <v>5.2000000000000006E-3</v>
      </c>
      <c r="N65" s="88">
        <f t="shared" si="95"/>
        <v>5.3000000000000009E-3</v>
      </c>
      <c r="O65" s="88">
        <v>5.3000000000000009E-3</v>
      </c>
      <c r="P65" s="88">
        <v>5.3000000000000009E-3</v>
      </c>
      <c r="Q65" s="88">
        <v>5.3000000000000009E-3</v>
      </c>
      <c r="R65" s="88">
        <v>5.3000000000000009E-3</v>
      </c>
      <c r="S65" s="88">
        <v>5.2000000000000006E-3</v>
      </c>
      <c r="T65" s="88">
        <v>5.2000000000000006E-3</v>
      </c>
      <c r="U65" s="88">
        <v>5.2000000000000006E-3</v>
      </c>
      <c r="V65" s="88">
        <v>5.0000000000000001E-3</v>
      </c>
      <c r="W65" s="88">
        <v>5.0000000000000001E-3</v>
      </c>
      <c r="X65" s="88">
        <v>5.0000000000000001E-3</v>
      </c>
      <c r="Y65" s="88">
        <v>5.0000000000000001E-3</v>
      </c>
      <c r="Z65" s="88">
        <v>4.5999999999999999E-3</v>
      </c>
      <c r="AA65" s="88">
        <v>4.5999999999999999E-3</v>
      </c>
      <c r="AB65" s="88">
        <v>4.5999999999999999E-3</v>
      </c>
      <c r="AC65" s="88">
        <f t="shared" si="96"/>
        <v>4.1999999999999997E-3</v>
      </c>
      <c r="AD65" s="88">
        <f t="shared" si="97"/>
        <v>3.4999999999999996E-3</v>
      </c>
      <c r="AE65" s="88">
        <f t="shared" si="97"/>
        <v>2.7999999999999995E-3</v>
      </c>
      <c r="AF65" s="88">
        <f t="shared" si="97"/>
        <v>2.0999999999999994E-3</v>
      </c>
      <c r="AG65" s="88">
        <f t="shared" si="97"/>
        <v>1.3999999999999993E-3</v>
      </c>
      <c r="AH65" s="88">
        <f t="shared" si="97"/>
        <v>6.9999999999999923E-4</v>
      </c>
      <c r="AI65" s="88">
        <v>1.5999999999999938E-3</v>
      </c>
      <c r="AJ65" s="88">
        <v>1.0999999999999933E-3</v>
      </c>
      <c r="AK65" s="88">
        <v>5.999999999999929E-4</v>
      </c>
      <c r="AL65" s="88">
        <v>9.9999999999992497E-5</v>
      </c>
      <c r="AM65" s="88">
        <v>0</v>
      </c>
      <c r="AN65" s="88">
        <v>0</v>
      </c>
      <c r="AO65" s="88">
        <v>0</v>
      </c>
      <c r="AP65" s="88"/>
    </row>
    <row r="66" spans="1:42">
      <c r="A66" s="107">
        <v>4</v>
      </c>
      <c r="B66" s="51" t="s">
        <v>30</v>
      </c>
      <c r="C66" s="99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88">
        <v>4.0000000000000001E-3</v>
      </c>
      <c r="O66" s="88">
        <v>4.2999999999999983E-3</v>
      </c>
      <c r="P66" s="88">
        <v>4.5999999999999999E-3</v>
      </c>
      <c r="Q66" s="88">
        <v>4.8999999999999981E-3</v>
      </c>
      <c r="R66" s="88">
        <v>5.1999999999999998E-3</v>
      </c>
      <c r="S66" s="88">
        <v>5.4999999999999979E-3</v>
      </c>
      <c r="T66" s="88">
        <v>5.7999999999999996E-3</v>
      </c>
      <c r="U66" s="88">
        <v>6.0999999999999978E-3</v>
      </c>
      <c r="V66" s="88">
        <v>6.3999999999999994E-3</v>
      </c>
      <c r="W66" s="88">
        <v>6.6999999999999976E-3</v>
      </c>
      <c r="X66" s="88">
        <v>6.9999999999999993E-3</v>
      </c>
      <c r="Y66" s="88">
        <v>7.2999999999999975E-3</v>
      </c>
      <c r="Z66" s="88">
        <v>7.5999999999999991E-3</v>
      </c>
      <c r="AA66" s="88">
        <v>7.0999999999999987E-3</v>
      </c>
      <c r="AB66" s="88">
        <v>6.5999999999999982E-3</v>
      </c>
      <c r="AC66" s="88">
        <f>AB66-0.06%</f>
        <v>5.9999999999999984E-3</v>
      </c>
      <c r="AD66" s="88">
        <f t="shared" ref="AD66:AI66" si="98">AC66-0.06%</f>
        <v>5.3999999999999986E-3</v>
      </c>
      <c r="AE66" s="88">
        <f t="shared" si="98"/>
        <v>4.7999999999999987E-3</v>
      </c>
      <c r="AF66" s="88">
        <f t="shared" si="98"/>
        <v>4.1999999999999989E-3</v>
      </c>
      <c r="AG66" s="88">
        <f t="shared" si="98"/>
        <v>3.599999999999999E-3</v>
      </c>
      <c r="AH66" s="88">
        <f t="shared" si="98"/>
        <v>2.9999999999999992E-3</v>
      </c>
      <c r="AI66" s="88">
        <f t="shared" si="98"/>
        <v>2.3999999999999994E-3</v>
      </c>
      <c r="AJ66" s="88">
        <f>AI66-0.06%</f>
        <v>1.7999999999999995E-3</v>
      </c>
      <c r="AK66" s="88">
        <f t="shared" ref="AK66" si="99">AJ66-0.06%</f>
        <v>1.1999999999999997E-3</v>
      </c>
      <c r="AL66" s="88">
        <v>9.9999999999992497E-5</v>
      </c>
      <c r="AM66" s="88">
        <v>0</v>
      </c>
      <c r="AN66" s="88">
        <v>0</v>
      </c>
      <c r="AO66" s="88">
        <v>0</v>
      </c>
      <c r="AP66" s="95"/>
    </row>
    <row r="67" spans="1:42">
      <c r="A67" s="108"/>
      <c r="B67" s="52" t="s">
        <v>31</v>
      </c>
      <c r="C67" s="99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88">
        <v>4.0000000000000001E-3</v>
      </c>
      <c r="O67" s="88">
        <v>4.2999999999999983E-3</v>
      </c>
      <c r="P67" s="88">
        <v>4.5999999999999999E-3</v>
      </c>
      <c r="Q67" s="88">
        <v>4.8999999999999981E-3</v>
      </c>
      <c r="R67" s="88">
        <v>5.1999999999999998E-3</v>
      </c>
      <c r="S67" s="88">
        <v>5.4999999999999979E-3</v>
      </c>
      <c r="T67" s="88">
        <v>5.7999999999999996E-3</v>
      </c>
      <c r="U67" s="88">
        <v>6.0999999999999978E-3</v>
      </c>
      <c r="V67" s="88">
        <v>6.3999999999999994E-3</v>
      </c>
      <c r="W67" s="88">
        <v>6.6999999999999976E-3</v>
      </c>
      <c r="X67" s="88">
        <v>6.9999999999999993E-3</v>
      </c>
      <c r="Y67" s="88">
        <v>7.2999999999999975E-3</v>
      </c>
      <c r="Z67" s="88">
        <v>7.5999999999999991E-3</v>
      </c>
      <c r="AA67" s="88">
        <v>7.0999999999999987E-3</v>
      </c>
      <c r="AB67" s="88">
        <v>6.5999999999999982E-3</v>
      </c>
      <c r="AC67" s="88">
        <f t="shared" ref="AC67:AI69" si="100">AB67-0.06%</f>
        <v>5.9999999999999984E-3</v>
      </c>
      <c r="AD67" s="88">
        <f t="shared" si="100"/>
        <v>5.3999999999999986E-3</v>
      </c>
      <c r="AE67" s="88">
        <f t="shared" si="100"/>
        <v>4.7999999999999987E-3</v>
      </c>
      <c r="AF67" s="88">
        <f t="shared" si="100"/>
        <v>4.1999999999999989E-3</v>
      </c>
      <c r="AG67" s="88">
        <f t="shared" si="100"/>
        <v>3.599999999999999E-3</v>
      </c>
      <c r="AH67" s="88">
        <f t="shared" si="100"/>
        <v>2.9999999999999992E-3</v>
      </c>
      <c r="AI67" s="88">
        <f t="shared" si="100"/>
        <v>2.3999999999999994E-3</v>
      </c>
      <c r="AJ67" s="88">
        <f t="shared" ref="AJ67:AK67" si="101">AI67-0.06%</f>
        <v>1.7999999999999995E-3</v>
      </c>
      <c r="AK67" s="88">
        <f t="shared" si="101"/>
        <v>1.1999999999999997E-3</v>
      </c>
      <c r="AL67" s="88">
        <v>9.9999999999992497E-5</v>
      </c>
      <c r="AM67" s="88">
        <v>0</v>
      </c>
      <c r="AN67" s="88">
        <v>0</v>
      </c>
      <c r="AO67" s="88">
        <v>0</v>
      </c>
      <c r="AP67" s="95"/>
    </row>
    <row r="68" spans="1:42">
      <c r="A68" s="108"/>
      <c r="B68" s="52" t="s">
        <v>32</v>
      </c>
      <c r="C68" s="99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88">
        <v>4.0000000000000001E-3</v>
      </c>
      <c r="O68" s="88">
        <v>4.2999999999999983E-3</v>
      </c>
      <c r="P68" s="88">
        <v>4.5999999999999999E-3</v>
      </c>
      <c r="Q68" s="88">
        <v>4.8999999999999981E-3</v>
      </c>
      <c r="R68" s="88">
        <v>5.1999999999999998E-3</v>
      </c>
      <c r="S68" s="88">
        <v>5.4999999999999979E-3</v>
      </c>
      <c r="T68" s="88">
        <v>5.7999999999999996E-3</v>
      </c>
      <c r="U68" s="88">
        <v>6.0999999999999978E-3</v>
      </c>
      <c r="V68" s="88">
        <v>6.3999999999999994E-3</v>
      </c>
      <c r="W68" s="88">
        <v>6.6999999999999976E-3</v>
      </c>
      <c r="X68" s="88">
        <v>6.9999999999999993E-3</v>
      </c>
      <c r="Y68" s="88">
        <v>7.2999999999999975E-3</v>
      </c>
      <c r="Z68" s="88">
        <v>7.5999999999999991E-3</v>
      </c>
      <c r="AA68" s="88">
        <v>7.0999999999999987E-3</v>
      </c>
      <c r="AB68" s="88">
        <v>6.5999999999999982E-3</v>
      </c>
      <c r="AC68" s="88">
        <f t="shared" si="100"/>
        <v>5.9999999999999984E-3</v>
      </c>
      <c r="AD68" s="88">
        <f t="shared" si="100"/>
        <v>5.3999999999999986E-3</v>
      </c>
      <c r="AE68" s="88">
        <f t="shared" si="100"/>
        <v>4.7999999999999987E-3</v>
      </c>
      <c r="AF68" s="88">
        <f t="shared" si="100"/>
        <v>4.1999999999999989E-3</v>
      </c>
      <c r="AG68" s="88">
        <f t="shared" si="100"/>
        <v>3.599999999999999E-3</v>
      </c>
      <c r="AH68" s="88">
        <f t="shared" si="100"/>
        <v>2.9999999999999992E-3</v>
      </c>
      <c r="AI68" s="88">
        <f t="shared" si="100"/>
        <v>2.3999999999999994E-3</v>
      </c>
      <c r="AJ68" s="88">
        <f t="shared" ref="AJ68:AK68" si="102">AI68-0.06%</f>
        <v>1.7999999999999995E-3</v>
      </c>
      <c r="AK68" s="88">
        <f t="shared" si="102"/>
        <v>1.1999999999999997E-3</v>
      </c>
      <c r="AL68" s="88">
        <v>9.9999999999992497E-5</v>
      </c>
      <c r="AM68" s="88">
        <v>0</v>
      </c>
      <c r="AN68" s="88">
        <v>0</v>
      </c>
      <c r="AO68" s="88">
        <v>0</v>
      </c>
      <c r="AP68" s="95"/>
    </row>
    <row r="69" spans="1:42" ht="15" thickBot="1">
      <c r="A69" s="109"/>
      <c r="B69" s="53" t="s">
        <v>29</v>
      </c>
      <c r="C69" s="99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88">
        <v>4.0000000000000001E-3</v>
      </c>
      <c r="O69" s="88">
        <v>4.2999999999999983E-3</v>
      </c>
      <c r="P69" s="88">
        <v>4.5999999999999999E-3</v>
      </c>
      <c r="Q69" s="88">
        <v>4.8999999999999981E-3</v>
      </c>
      <c r="R69" s="88">
        <v>5.1999999999999998E-3</v>
      </c>
      <c r="S69" s="88">
        <v>5.4999999999999979E-3</v>
      </c>
      <c r="T69" s="88">
        <v>5.7999999999999996E-3</v>
      </c>
      <c r="U69" s="88">
        <v>6.0999999999999978E-3</v>
      </c>
      <c r="V69" s="88">
        <v>6.3999999999999994E-3</v>
      </c>
      <c r="W69" s="88">
        <v>6.6999999999999976E-3</v>
      </c>
      <c r="X69" s="88">
        <v>6.9999999999999993E-3</v>
      </c>
      <c r="Y69" s="88">
        <v>7.2999999999999975E-3</v>
      </c>
      <c r="Z69" s="88">
        <v>7.5999999999999991E-3</v>
      </c>
      <c r="AA69" s="88">
        <v>7.0999999999999987E-3</v>
      </c>
      <c r="AB69" s="88">
        <v>6.5999999999999982E-3</v>
      </c>
      <c r="AC69" s="88">
        <f t="shared" si="100"/>
        <v>5.9999999999999984E-3</v>
      </c>
      <c r="AD69" s="88">
        <f t="shared" si="100"/>
        <v>5.3999999999999986E-3</v>
      </c>
      <c r="AE69" s="88">
        <f t="shared" si="100"/>
        <v>4.7999999999999987E-3</v>
      </c>
      <c r="AF69" s="88">
        <f t="shared" si="100"/>
        <v>4.1999999999999989E-3</v>
      </c>
      <c r="AG69" s="88">
        <f t="shared" si="100"/>
        <v>3.599999999999999E-3</v>
      </c>
      <c r="AH69" s="88">
        <f t="shared" si="100"/>
        <v>2.9999999999999992E-3</v>
      </c>
      <c r="AI69" s="88">
        <f t="shared" si="100"/>
        <v>2.3999999999999994E-3</v>
      </c>
      <c r="AJ69" s="88">
        <f t="shared" ref="AJ69:AK69" si="103">AI69-0.06%</f>
        <v>1.7999999999999995E-3</v>
      </c>
      <c r="AK69" s="88">
        <f t="shared" si="103"/>
        <v>1.1999999999999997E-3</v>
      </c>
      <c r="AL69" s="88">
        <v>9.9999999999992497E-5</v>
      </c>
      <c r="AM69" s="88">
        <v>0</v>
      </c>
      <c r="AN69" s="88">
        <v>0</v>
      </c>
      <c r="AO69" s="88">
        <v>0</v>
      </c>
      <c r="AP69" s="95"/>
    </row>
    <row r="70" spans="1:42" ht="15" thickBot="1">
      <c r="C70" s="96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8"/>
    </row>
    <row r="74" spans="1:42">
      <c r="A74" s="107">
        <v>1</v>
      </c>
      <c r="B74" s="47" t="s">
        <v>15</v>
      </c>
      <c r="C74" s="57">
        <f>C53+0.2%</f>
        <v>7.7000000000000098E-3</v>
      </c>
      <c r="D74" s="57">
        <f t="shared" ref="D74:AO81" si="104">D53+0.2%</f>
        <v>7.7000000000000072E-3</v>
      </c>
      <c r="E74" s="57">
        <f t="shared" si="104"/>
        <v>7.9000000000000008E-3</v>
      </c>
      <c r="F74" s="57">
        <f t="shared" si="104"/>
        <v>7.9000000000000008E-3</v>
      </c>
      <c r="G74" s="57">
        <f t="shared" si="104"/>
        <v>8.0000000000000002E-3</v>
      </c>
      <c r="H74" s="57">
        <f t="shared" si="104"/>
        <v>8.0000000000000002E-3</v>
      </c>
      <c r="I74" s="57">
        <f t="shared" si="104"/>
        <v>8.0999999999999996E-3</v>
      </c>
      <c r="J74" s="57">
        <f t="shared" si="104"/>
        <v>8.3000000000000001E-3</v>
      </c>
      <c r="K74" s="57">
        <f t="shared" si="104"/>
        <v>8.5000000000000006E-3</v>
      </c>
      <c r="L74" s="57">
        <f t="shared" si="104"/>
        <v>8.5000000000000006E-3</v>
      </c>
      <c r="M74" s="57">
        <f t="shared" si="104"/>
        <v>8.5000000000000006E-3</v>
      </c>
      <c r="N74" s="57">
        <f t="shared" si="104"/>
        <v>7.1999999999999998E-3</v>
      </c>
      <c r="O74" s="57">
        <f t="shared" si="104"/>
        <v>7.2999999999999992E-3</v>
      </c>
      <c r="P74" s="57">
        <f t="shared" si="104"/>
        <v>7.4999999999999997E-3</v>
      </c>
      <c r="Q74" s="57">
        <f t="shared" si="104"/>
        <v>7.2999999999999992E-3</v>
      </c>
      <c r="R74" s="57">
        <f t="shared" si="104"/>
        <v>7.1999999999999998E-3</v>
      </c>
      <c r="S74" s="57">
        <f t="shared" si="104"/>
        <v>7.1000000000000004E-3</v>
      </c>
      <c r="T74" s="57">
        <f t="shared" si="104"/>
        <v>7.000000000000001E-3</v>
      </c>
      <c r="U74" s="57">
        <f t="shared" si="104"/>
        <v>6.6E-3</v>
      </c>
      <c r="V74" s="57">
        <f t="shared" si="104"/>
        <v>6.3E-3</v>
      </c>
      <c r="W74" s="57">
        <f t="shared" si="104"/>
        <v>5.4000000000000003E-3</v>
      </c>
      <c r="X74" s="57">
        <f t="shared" si="104"/>
        <v>4.8999999999999998E-3</v>
      </c>
      <c r="Y74" s="57">
        <f t="shared" si="104"/>
        <v>4.1999999999999997E-3</v>
      </c>
      <c r="Z74" s="57">
        <f t="shared" si="104"/>
        <v>4.0000000000000001E-3</v>
      </c>
      <c r="AA74" s="57">
        <f t="shared" si="104"/>
        <v>3.5000000000000001E-3</v>
      </c>
      <c r="AB74" s="57">
        <f t="shared" si="104"/>
        <v>3.5000000000000001E-3</v>
      </c>
      <c r="AC74" s="57">
        <f t="shared" si="104"/>
        <v>3.5000000000000001E-3</v>
      </c>
      <c r="AD74" s="57">
        <f t="shared" si="104"/>
        <v>3.5000000000000001E-3</v>
      </c>
      <c r="AE74" s="57">
        <f t="shared" si="104"/>
        <v>3.0000000000000018E-3</v>
      </c>
      <c r="AF74" s="57">
        <f t="shared" si="104"/>
        <v>2.8000000000000021E-3</v>
      </c>
      <c r="AG74" s="57">
        <f t="shared" si="104"/>
        <v>2.6000000000000025E-3</v>
      </c>
      <c r="AH74" s="57">
        <f t="shared" si="104"/>
        <v>2.2000000000000023E-3</v>
      </c>
      <c r="AI74" s="57">
        <f t="shared" si="104"/>
        <v>2.2000000000000023E-3</v>
      </c>
      <c r="AJ74" s="57">
        <f t="shared" si="104"/>
        <v>2.2000000000000023E-3</v>
      </c>
      <c r="AK74" s="57">
        <f t="shared" si="104"/>
        <v>2.2000000000000023E-3</v>
      </c>
      <c r="AL74" s="57">
        <f t="shared" si="104"/>
        <v>2.2000000000000023E-3</v>
      </c>
      <c r="AM74" s="57">
        <f t="shared" si="104"/>
        <v>2.2000000000000023E-3</v>
      </c>
      <c r="AN74" s="57">
        <f t="shared" si="104"/>
        <v>2.2000000000000023E-3</v>
      </c>
      <c r="AO74" s="57">
        <f t="shared" si="104"/>
        <v>2.2000000000000023E-3</v>
      </c>
    </row>
    <row r="75" spans="1:42">
      <c r="A75" s="108"/>
      <c r="B75" s="47" t="s">
        <v>17</v>
      </c>
      <c r="C75" s="57">
        <f t="shared" ref="C75:R82" si="105">C54+0.2%</f>
        <v>7.7000000000000098E-3</v>
      </c>
      <c r="D75" s="57">
        <f t="shared" si="105"/>
        <v>7.7000000000000072E-3</v>
      </c>
      <c r="E75" s="57">
        <f t="shared" si="105"/>
        <v>7.9000000000000008E-3</v>
      </c>
      <c r="F75" s="57">
        <f t="shared" si="105"/>
        <v>7.9000000000000008E-3</v>
      </c>
      <c r="G75" s="57">
        <f t="shared" si="105"/>
        <v>8.0000000000000002E-3</v>
      </c>
      <c r="H75" s="57">
        <f t="shared" si="105"/>
        <v>8.0000000000000002E-3</v>
      </c>
      <c r="I75" s="57">
        <f t="shared" si="105"/>
        <v>8.0999999999999996E-3</v>
      </c>
      <c r="J75" s="57">
        <f t="shared" si="105"/>
        <v>8.3000000000000001E-3</v>
      </c>
      <c r="K75" s="57">
        <f t="shared" si="105"/>
        <v>8.5000000000000006E-3</v>
      </c>
      <c r="L75" s="57">
        <f t="shared" si="105"/>
        <v>8.5000000000000006E-3</v>
      </c>
      <c r="M75" s="57">
        <f t="shared" si="105"/>
        <v>8.5000000000000006E-3</v>
      </c>
      <c r="N75" s="57">
        <f t="shared" si="105"/>
        <v>7.1999999999999998E-3</v>
      </c>
      <c r="O75" s="57">
        <f t="shared" si="105"/>
        <v>7.2999999999999992E-3</v>
      </c>
      <c r="P75" s="57">
        <f t="shared" si="105"/>
        <v>7.4999999999999997E-3</v>
      </c>
      <c r="Q75" s="57">
        <f t="shared" si="105"/>
        <v>7.2999999999999992E-3</v>
      </c>
      <c r="R75" s="57">
        <f t="shared" si="105"/>
        <v>7.1999999999999998E-3</v>
      </c>
      <c r="S75" s="57">
        <f t="shared" si="104"/>
        <v>7.1000000000000004E-3</v>
      </c>
      <c r="T75" s="57">
        <f t="shared" si="104"/>
        <v>7.000000000000001E-3</v>
      </c>
      <c r="U75" s="57">
        <f t="shared" si="104"/>
        <v>6.6E-3</v>
      </c>
      <c r="V75" s="57">
        <f t="shared" si="104"/>
        <v>6.3E-3</v>
      </c>
      <c r="W75" s="57">
        <f t="shared" si="104"/>
        <v>5.4000000000000003E-3</v>
      </c>
      <c r="X75" s="57">
        <f t="shared" si="104"/>
        <v>4.8999999999999998E-3</v>
      </c>
      <c r="Y75" s="57">
        <f t="shared" si="104"/>
        <v>4.1999999999999997E-3</v>
      </c>
      <c r="Z75" s="57">
        <f t="shared" si="104"/>
        <v>4.0000000000000001E-3</v>
      </c>
      <c r="AA75" s="57">
        <f t="shared" si="104"/>
        <v>3.5000000000000001E-3</v>
      </c>
      <c r="AB75" s="57">
        <f t="shared" si="104"/>
        <v>3.5000000000000001E-3</v>
      </c>
      <c r="AC75" s="57">
        <f t="shared" si="104"/>
        <v>3.5000000000000001E-3</v>
      </c>
      <c r="AD75" s="57">
        <f t="shared" si="104"/>
        <v>3.5000000000000001E-3</v>
      </c>
      <c r="AE75" s="57">
        <f t="shared" si="104"/>
        <v>3.0000000000000018E-3</v>
      </c>
      <c r="AF75" s="57">
        <f t="shared" si="104"/>
        <v>2.8000000000000021E-3</v>
      </c>
      <c r="AG75" s="57">
        <f t="shared" si="104"/>
        <v>2.6000000000000025E-3</v>
      </c>
      <c r="AH75" s="57">
        <f t="shared" si="104"/>
        <v>2.2000000000000023E-3</v>
      </c>
      <c r="AI75" s="57">
        <f t="shared" si="104"/>
        <v>2.2000000000000023E-3</v>
      </c>
      <c r="AJ75" s="57">
        <f t="shared" si="104"/>
        <v>2.2000000000000023E-3</v>
      </c>
      <c r="AK75" s="57">
        <f t="shared" si="104"/>
        <v>2.2000000000000023E-3</v>
      </c>
      <c r="AL75" s="57">
        <f t="shared" si="104"/>
        <v>2.2000000000000023E-3</v>
      </c>
      <c r="AM75" s="57">
        <f t="shared" si="104"/>
        <v>2.2000000000000023E-3</v>
      </c>
      <c r="AN75" s="57">
        <f t="shared" si="104"/>
        <v>2.2000000000000023E-3</v>
      </c>
      <c r="AO75" s="57">
        <f t="shared" si="104"/>
        <v>2.2000000000000023E-3</v>
      </c>
    </row>
    <row r="76" spans="1:42">
      <c r="A76" s="108"/>
      <c r="B76" s="47" t="s">
        <v>14</v>
      </c>
      <c r="C76" s="57">
        <f t="shared" si="105"/>
        <v>7.7000000000000098E-3</v>
      </c>
      <c r="D76" s="57">
        <f t="shared" si="104"/>
        <v>7.7000000000000072E-3</v>
      </c>
      <c r="E76" s="57">
        <f t="shared" si="104"/>
        <v>7.9000000000000008E-3</v>
      </c>
      <c r="F76" s="57">
        <f t="shared" si="104"/>
        <v>7.9000000000000008E-3</v>
      </c>
      <c r="G76" s="57">
        <f t="shared" si="104"/>
        <v>8.0000000000000002E-3</v>
      </c>
      <c r="H76" s="57">
        <f t="shared" si="104"/>
        <v>8.0000000000000002E-3</v>
      </c>
      <c r="I76" s="57">
        <f t="shared" si="104"/>
        <v>8.0999999999999996E-3</v>
      </c>
      <c r="J76" s="57">
        <f t="shared" si="104"/>
        <v>8.3000000000000001E-3</v>
      </c>
      <c r="K76" s="57">
        <f t="shared" si="104"/>
        <v>8.5000000000000006E-3</v>
      </c>
      <c r="L76" s="57">
        <f t="shared" si="104"/>
        <v>8.5000000000000006E-3</v>
      </c>
      <c r="M76" s="57">
        <f t="shared" si="104"/>
        <v>8.5000000000000006E-3</v>
      </c>
      <c r="N76" s="57">
        <f t="shared" si="104"/>
        <v>7.1999999999999998E-3</v>
      </c>
      <c r="O76" s="57">
        <f t="shared" si="104"/>
        <v>7.2999999999999992E-3</v>
      </c>
      <c r="P76" s="57">
        <f t="shared" si="104"/>
        <v>7.4999999999999997E-3</v>
      </c>
      <c r="Q76" s="57">
        <f t="shared" si="104"/>
        <v>7.2999999999999992E-3</v>
      </c>
      <c r="R76" s="57">
        <f t="shared" si="104"/>
        <v>7.1999999999999998E-3</v>
      </c>
      <c r="S76" s="57">
        <f t="shared" si="104"/>
        <v>7.1000000000000004E-3</v>
      </c>
      <c r="T76" s="57">
        <f t="shared" si="104"/>
        <v>7.000000000000001E-3</v>
      </c>
      <c r="U76" s="57">
        <f t="shared" si="104"/>
        <v>6.6E-3</v>
      </c>
      <c r="V76" s="57">
        <f t="shared" si="104"/>
        <v>6.3E-3</v>
      </c>
      <c r="W76" s="57">
        <f t="shared" si="104"/>
        <v>5.4000000000000003E-3</v>
      </c>
      <c r="X76" s="57">
        <f t="shared" si="104"/>
        <v>4.8999999999999998E-3</v>
      </c>
      <c r="Y76" s="57">
        <f t="shared" si="104"/>
        <v>4.1999999999999997E-3</v>
      </c>
      <c r="Z76" s="57">
        <f t="shared" si="104"/>
        <v>4.0000000000000001E-3</v>
      </c>
      <c r="AA76" s="57">
        <f t="shared" si="104"/>
        <v>3.5000000000000001E-3</v>
      </c>
      <c r="AB76" s="57">
        <f t="shared" si="104"/>
        <v>3.5000000000000001E-3</v>
      </c>
      <c r="AC76" s="57">
        <f t="shared" si="104"/>
        <v>3.5000000000000001E-3</v>
      </c>
      <c r="AD76" s="57">
        <f t="shared" si="104"/>
        <v>3.5000000000000001E-3</v>
      </c>
      <c r="AE76" s="57">
        <f t="shared" si="104"/>
        <v>3.0000000000000018E-3</v>
      </c>
      <c r="AF76" s="57">
        <f t="shared" si="104"/>
        <v>2.8000000000000021E-3</v>
      </c>
      <c r="AG76" s="57">
        <f t="shared" si="104"/>
        <v>2.6000000000000025E-3</v>
      </c>
      <c r="AH76" s="57">
        <f t="shared" si="104"/>
        <v>2.2000000000000023E-3</v>
      </c>
      <c r="AI76" s="57">
        <f t="shared" si="104"/>
        <v>2.2000000000000023E-3</v>
      </c>
      <c r="AJ76" s="57">
        <f t="shared" si="104"/>
        <v>2.2000000000000023E-3</v>
      </c>
      <c r="AK76" s="57">
        <f t="shared" si="104"/>
        <v>2.2000000000000023E-3</v>
      </c>
      <c r="AL76" s="57">
        <f t="shared" si="104"/>
        <v>2.2000000000000023E-3</v>
      </c>
      <c r="AM76" s="57">
        <f t="shared" si="104"/>
        <v>2.2000000000000023E-3</v>
      </c>
      <c r="AN76" s="57">
        <f t="shared" si="104"/>
        <v>2.2000000000000023E-3</v>
      </c>
      <c r="AO76" s="57">
        <f t="shared" si="104"/>
        <v>2.2000000000000023E-3</v>
      </c>
    </row>
    <row r="77" spans="1:42">
      <c r="A77" s="108"/>
      <c r="B77" s="47" t="s">
        <v>16</v>
      </c>
      <c r="C77" s="57">
        <f t="shared" si="105"/>
        <v>7.7000000000000098E-3</v>
      </c>
      <c r="D77" s="57">
        <f t="shared" si="104"/>
        <v>7.7000000000000072E-3</v>
      </c>
      <c r="E77" s="57">
        <f t="shared" si="104"/>
        <v>7.9000000000000008E-3</v>
      </c>
      <c r="F77" s="57">
        <f t="shared" si="104"/>
        <v>7.9000000000000008E-3</v>
      </c>
      <c r="G77" s="57">
        <f t="shared" si="104"/>
        <v>8.0000000000000002E-3</v>
      </c>
      <c r="H77" s="57">
        <f t="shared" si="104"/>
        <v>8.0000000000000002E-3</v>
      </c>
      <c r="I77" s="57">
        <f t="shared" si="104"/>
        <v>8.0999999999999996E-3</v>
      </c>
      <c r="J77" s="57">
        <f t="shared" si="104"/>
        <v>8.3000000000000001E-3</v>
      </c>
      <c r="K77" s="57">
        <f t="shared" si="104"/>
        <v>8.5000000000000006E-3</v>
      </c>
      <c r="L77" s="57">
        <f t="shared" si="104"/>
        <v>8.5000000000000006E-3</v>
      </c>
      <c r="M77" s="57">
        <f t="shared" si="104"/>
        <v>8.5000000000000006E-3</v>
      </c>
      <c r="N77" s="57">
        <f t="shared" si="104"/>
        <v>7.1999999999999998E-3</v>
      </c>
      <c r="O77" s="57">
        <f t="shared" si="104"/>
        <v>7.2999999999999992E-3</v>
      </c>
      <c r="P77" s="57">
        <f t="shared" si="104"/>
        <v>7.4999999999999997E-3</v>
      </c>
      <c r="Q77" s="57">
        <f t="shared" si="104"/>
        <v>7.2999999999999992E-3</v>
      </c>
      <c r="R77" s="57">
        <f t="shared" si="104"/>
        <v>7.1999999999999998E-3</v>
      </c>
      <c r="S77" s="57">
        <f t="shared" si="104"/>
        <v>7.1000000000000004E-3</v>
      </c>
      <c r="T77" s="57">
        <f t="shared" si="104"/>
        <v>7.000000000000001E-3</v>
      </c>
      <c r="U77" s="57">
        <f t="shared" si="104"/>
        <v>6.6E-3</v>
      </c>
      <c r="V77" s="57">
        <f t="shared" si="104"/>
        <v>6.3E-3</v>
      </c>
      <c r="W77" s="57">
        <f t="shared" si="104"/>
        <v>5.4000000000000003E-3</v>
      </c>
      <c r="X77" s="57">
        <f t="shared" si="104"/>
        <v>4.8999999999999998E-3</v>
      </c>
      <c r="Y77" s="57">
        <f t="shared" si="104"/>
        <v>4.1999999999999997E-3</v>
      </c>
      <c r="Z77" s="57">
        <f t="shared" si="104"/>
        <v>4.0000000000000001E-3</v>
      </c>
      <c r="AA77" s="57">
        <f t="shared" si="104"/>
        <v>3.5000000000000001E-3</v>
      </c>
      <c r="AB77" s="57">
        <f t="shared" si="104"/>
        <v>3.5000000000000001E-3</v>
      </c>
      <c r="AC77" s="57">
        <f t="shared" si="104"/>
        <v>3.5000000000000001E-3</v>
      </c>
      <c r="AD77" s="57">
        <f t="shared" si="104"/>
        <v>3.5000000000000001E-3</v>
      </c>
      <c r="AE77" s="57">
        <f t="shared" si="104"/>
        <v>3.0000000000000018E-3</v>
      </c>
      <c r="AF77" s="57">
        <f t="shared" si="104"/>
        <v>2.8000000000000021E-3</v>
      </c>
      <c r="AG77" s="57">
        <f t="shared" si="104"/>
        <v>2.6000000000000025E-3</v>
      </c>
      <c r="AH77" s="57">
        <f t="shared" si="104"/>
        <v>2.2000000000000023E-3</v>
      </c>
      <c r="AI77" s="57">
        <f t="shared" si="104"/>
        <v>2.2000000000000023E-3</v>
      </c>
      <c r="AJ77" s="57">
        <f t="shared" si="104"/>
        <v>2.2000000000000023E-3</v>
      </c>
      <c r="AK77" s="57">
        <f t="shared" si="104"/>
        <v>2.2000000000000023E-3</v>
      </c>
      <c r="AL77" s="57">
        <f t="shared" si="104"/>
        <v>2.2000000000000023E-3</v>
      </c>
      <c r="AM77" s="57">
        <f t="shared" si="104"/>
        <v>2.2000000000000023E-3</v>
      </c>
      <c r="AN77" s="57">
        <f t="shared" si="104"/>
        <v>2.2000000000000023E-3</v>
      </c>
      <c r="AO77" s="57">
        <f t="shared" si="104"/>
        <v>2.2000000000000023E-3</v>
      </c>
    </row>
    <row r="78" spans="1:42">
      <c r="A78" s="109"/>
      <c r="B78" s="47" t="s">
        <v>18</v>
      </c>
      <c r="C78" s="57">
        <f t="shared" si="105"/>
        <v>7.7000000000000098E-3</v>
      </c>
      <c r="D78" s="57">
        <f t="shared" si="104"/>
        <v>7.7000000000000072E-3</v>
      </c>
      <c r="E78" s="57">
        <f t="shared" si="104"/>
        <v>7.9000000000000008E-3</v>
      </c>
      <c r="F78" s="57">
        <f t="shared" si="104"/>
        <v>7.9000000000000008E-3</v>
      </c>
      <c r="G78" s="57">
        <f t="shared" si="104"/>
        <v>8.0000000000000002E-3</v>
      </c>
      <c r="H78" s="57">
        <f t="shared" si="104"/>
        <v>8.0000000000000002E-3</v>
      </c>
      <c r="I78" s="57">
        <f t="shared" si="104"/>
        <v>8.0999999999999996E-3</v>
      </c>
      <c r="J78" s="57">
        <f t="shared" si="104"/>
        <v>8.3000000000000001E-3</v>
      </c>
      <c r="K78" s="57">
        <f t="shared" si="104"/>
        <v>8.5000000000000006E-3</v>
      </c>
      <c r="L78" s="57">
        <f t="shared" si="104"/>
        <v>8.5000000000000006E-3</v>
      </c>
      <c r="M78" s="57">
        <f t="shared" si="104"/>
        <v>8.5000000000000006E-3</v>
      </c>
      <c r="N78" s="57">
        <f t="shared" si="104"/>
        <v>7.1999999999999998E-3</v>
      </c>
      <c r="O78" s="57">
        <f t="shared" si="104"/>
        <v>7.2999999999999992E-3</v>
      </c>
      <c r="P78" s="57">
        <f t="shared" si="104"/>
        <v>7.4999999999999997E-3</v>
      </c>
      <c r="Q78" s="57">
        <f t="shared" si="104"/>
        <v>7.2999999999999992E-3</v>
      </c>
      <c r="R78" s="57">
        <f t="shared" si="104"/>
        <v>7.1999999999999998E-3</v>
      </c>
      <c r="S78" s="57">
        <f t="shared" si="104"/>
        <v>7.1000000000000004E-3</v>
      </c>
      <c r="T78" s="57">
        <f t="shared" si="104"/>
        <v>7.000000000000001E-3</v>
      </c>
      <c r="U78" s="57">
        <f t="shared" si="104"/>
        <v>6.6E-3</v>
      </c>
      <c r="V78" s="57">
        <f t="shared" si="104"/>
        <v>6.3E-3</v>
      </c>
      <c r="W78" s="57">
        <f t="shared" si="104"/>
        <v>5.4000000000000003E-3</v>
      </c>
      <c r="X78" s="57">
        <f t="shared" si="104"/>
        <v>4.8999999999999998E-3</v>
      </c>
      <c r="Y78" s="57">
        <f t="shared" si="104"/>
        <v>4.1999999999999997E-3</v>
      </c>
      <c r="Z78" s="57">
        <f t="shared" si="104"/>
        <v>4.0000000000000001E-3</v>
      </c>
      <c r="AA78" s="57">
        <f t="shared" si="104"/>
        <v>3.5000000000000001E-3</v>
      </c>
      <c r="AB78" s="57">
        <f t="shared" si="104"/>
        <v>3.5000000000000001E-3</v>
      </c>
      <c r="AC78" s="57">
        <f t="shared" si="104"/>
        <v>3.5000000000000001E-3</v>
      </c>
      <c r="AD78" s="57">
        <f t="shared" si="104"/>
        <v>3.5000000000000001E-3</v>
      </c>
      <c r="AE78" s="57">
        <f t="shared" si="104"/>
        <v>3.0000000000000018E-3</v>
      </c>
      <c r="AF78" s="57">
        <f t="shared" si="104"/>
        <v>2.8000000000000021E-3</v>
      </c>
      <c r="AG78" s="57">
        <f t="shared" si="104"/>
        <v>2.6000000000000025E-3</v>
      </c>
      <c r="AH78" s="57">
        <f t="shared" si="104"/>
        <v>2.2000000000000023E-3</v>
      </c>
      <c r="AI78" s="57">
        <f t="shared" si="104"/>
        <v>2.2000000000000023E-3</v>
      </c>
      <c r="AJ78" s="57">
        <f t="shared" si="104"/>
        <v>2.2000000000000023E-3</v>
      </c>
      <c r="AK78" s="57">
        <f t="shared" si="104"/>
        <v>2.2000000000000023E-3</v>
      </c>
      <c r="AL78" s="57">
        <f t="shared" si="104"/>
        <v>2.2000000000000023E-3</v>
      </c>
      <c r="AM78" s="57">
        <f t="shared" si="104"/>
        <v>2.2000000000000023E-3</v>
      </c>
      <c r="AN78" s="57">
        <f t="shared" si="104"/>
        <v>2.2000000000000023E-3</v>
      </c>
      <c r="AO78" s="57">
        <f t="shared" si="104"/>
        <v>2.2000000000000023E-3</v>
      </c>
    </row>
    <row r="79" spans="1:42">
      <c r="A79" s="107">
        <v>2</v>
      </c>
      <c r="B79" s="48" t="s">
        <v>20</v>
      </c>
      <c r="C79" s="57">
        <f t="shared" si="105"/>
        <v>7.6000000000000069E-3</v>
      </c>
      <c r="D79" s="57">
        <f t="shared" si="104"/>
        <v>7.6000000000000069E-3</v>
      </c>
      <c r="E79" s="57">
        <f t="shared" si="104"/>
        <v>7.8000000000000005E-3</v>
      </c>
      <c r="F79" s="57">
        <f t="shared" si="104"/>
        <v>7.8000000000000005E-3</v>
      </c>
      <c r="G79" s="57">
        <f t="shared" si="104"/>
        <v>7.9000000000000008E-3</v>
      </c>
      <c r="H79" s="57">
        <f t="shared" si="104"/>
        <v>7.9000000000000008E-3</v>
      </c>
      <c r="I79" s="57">
        <f t="shared" si="104"/>
        <v>8.0000000000000002E-3</v>
      </c>
      <c r="J79" s="57">
        <f t="shared" si="104"/>
        <v>8.2000000000000007E-3</v>
      </c>
      <c r="K79" s="57">
        <f t="shared" si="104"/>
        <v>8.4000000000000012E-3</v>
      </c>
      <c r="L79" s="57">
        <f t="shared" si="104"/>
        <v>8.4000000000000012E-3</v>
      </c>
      <c r="M79" s="57">
        <f t="shared" si="104"/>
        <v>8.4000000000000012E-3</v>
      </c>
      <c r="N79" s="57">
        <f t="shared" si="104"/>
        <v>7.1000000000000004E-3</v>
      </c>
      <c r="O79" s="57">
        <f t="shared" si="104"/>
        <v>7.1999999999999998E-3</v>
      </c>
      <c r="P79" s="57">
        <f t="shared" si="104"/>
        <v>7.4000000000000003E-3</v>
      </c>
      <c r="Q79" s="57">
        <f t="shared" si="104"/>
        <v>7.1999999999999998E-3</v>
      </c>
      <c r="R79" s="57">
        <f t="shared" si="104"/>
        <v>7.1000000000000004E-3</v>
      </c>
      <c r="S79" s="57">
        <f t="shared" si="104"/>
        <v>7.000000000000001E-3</v>
      </c>
      <c r="T79" s="57">
        <f t="shared" si="104"/>
        <v>6.9000000000000016E-3</v>
      </c>
      <c r="U79" s="57">
        <f t="shared" si="104"/>
        <v>6.5000000000000006E-3</v>
      </c>
      <c r="V79" s="57">
        <f t="shared" si="104"/>
        <v>6.2000000000000006E-3</v>
      </c>
      <c r="W79" s="57">
        <f t="shared" si="104"/>
        <v>5.3E-3</v>
      </c>
      <c r="X79" s="57">
        <f t="shared" si="104"/>
        <v>4.7999999999999996E-3</v>
      </c>
      <c r="Y79" s="57">
        <f t="shared" si="104"/>
        <v>4.0999999999999995E-3</v>
      </c>
      <c r="Z79" s="57">
        <f t="shared" si="104"/>
        <v>3.8999999999999998E-3</v>
      </c>
      <c r="AA79" s="57">
        <f t="shared" si="104"/>
        <v>3.5999999999999999E-3</v>
      </c>
      <c r="AB79" s="57">
        <f t="shared" si="104"/>
        <v>3.5999999999999999E-3</v>
      </c>
      <c r="AC79" s="57">
        <f t="shared" si="104"/>
        <v>3.5999999999999999E-3</v>
      </c>
      <c r="AD79" s="57">
        <f t="shared" si="104"/>
        <v>3.5999999999999999E-3</v>
      </c>
      <c r="AE79" s="57">
        <f t="shared" si="104"/>
        <v>2.9000000000000015E-3</v>
      </c>
      <c r="AF79" s="57">
        <f t="shared" si="104"/>
        <v>2.7000000000000019E-3</v>
      </c>
      <c r="AG79" s="57">
        <f t="shared" si="104"/>
        <v>2.5000000000000022E-3</v>
      </c>
      <c r="AH79" s="57">
        <f t="shared" si="104"/>
        <v>2.100000000000002E-3</v>
      </c>
      <c r="AI79" s="57">
        <f t="shared" si="104"/>
        <v>2E-3</v>
      </c>
      <c r="AJ79" s="57">
        <f t="shared" si="104"/>
        <v>2E-3</v>
      </c>
      <c r="AK79" s="57">
        <f t="shared" si="104"/>
        <v>2E-3</v>
      </c>
      <c r="AL79" s="57">
        <f t="shared" si="104"/>
        <v>2E-3</v>
      </c>
      <c r="AM79" s="57">
        <f t="shared" si="104"/>
        <v>2E-3</v>
      </c>
      <c r="AN79" s="57">
        <f t="shared" si="104"/>
        <v>2E-3</v>
      </c>
      <c r="AO79" s="57">
        <f t="shared" si="104"/>
        <v>2E-3</v>
      </c>
    </row>
    <row r="80" spans="1:42">
      <c r="A80" s="108"/>
      <c r="B80" s="48" t="s">
        <v>19</v>
      </c>
      <c r="C80" s="57">
        <f t="shared" si="105"/>
        <v>7.6000000000000069E-3</v>
      </c>
      <c r="D80" s="57">
        <f t="shared" si="104"/>
        <v>7.6000000000000069E-3</v>
      </c>
      <c r="E80" s="57">
        <f t="shared" si="104"/>
        <v>7.8000000000000005E-3</v>
      </c>
      <c r="F80" s="57">
        <f t="shared" si="104"/>
        <v>7.8000000000000005E-3</v>
      </c>
      <c r="G80" s="57">
        <f t="shared" si="104"/>
        <v>7.9000000000000008E-3</v>
      </c>
      <c r="H80" s="57">
        <f t="shared" si="104"/>
        <v>7.9000000000000008E-3</v>
      </c>
      <c r="I80" s="57">
        <f t="shared" si="104"/>
        <v>8.0000000000000002E-3</v>
      </c>
      <c r="J80" s="57">
        <f t="shared" si="104"/>
        <v>8.2000000000000007E-3</v>
      </c>
      <c r="K80" s="57">
        <f t="shared" si="104"/>
        <v>8.4000000000000012E-3</v>
      </c>
      <c r="L80" s="57">
        <f t="shared" si="104"/>
        <v>8.4000000000000012E-3</v>
      </c>
      <c r="M80" s="57">
        <f t="shared" si="104"/>
        <v>8.4000000000000012E-3</v>
      </c>
      <c r="N80" s="57">
        <f t="shared" si="104"/>
        <v>7.1000000000000004E-3</v>
      </c>
      <c r="O80" s="57">
        <f t="shared" si="104"/>
        <v>7.1999999999999998E-3</v>
      </c>
      <c r="P80" s="57">
        <f t="shared" si="104"/>
        <v>7.4000000000000003E-3</v>
      </c>
      <c r="Q80" s="57">
        <f t="shared" si="104"/>
        <v>7.1999999999999998E-3</v>
      </c>
      <c r="R80" s="57">
        <f t="shared" si="104"/>
        <v>7.1000000000000004E-3</v>
      </c>
      <c r="S80" s="57">
        <f t="shared" si="104"/>
        <v>7.000000000000001E-3</v>
      </c>
      <c r="T80" s="57">
        <f t="shared" si="104"/>
        <v>6.9000000000000016E-3</v>
      </c>
      <c r="U80" s="57">
        <f t="shared" si="104"/>
        <v>6.5000000000000006E-3</v>
      </c>
      <c r="V80" s="57">
        <f t="shared" si="104"/>
        <v>6.2000000000000006E-3</v>
      </c>
      <c r="W80" s="57">
        <f t="shared" si="104"/>
        <v>5.3E-3</v>
      </c>
      <c r="X80" s="57">
        <f t="shared" si="104"/>
        <v>4.7999999999999996E-3</v>
      </c>
      <c r="Y80" s="57">
        <f t="shared" si="104"/>
        <v>4.0999999999999995E-3</v>
      </c>
      <c r="Z80" s="57">
        <f t="shared" si="104"/>
        <v>3.8999999999999998E-3</v>
      </c>
      <c r="AA80" s="57">
        <f t="shared" si="104"/>
        <v>3.5999999999999999E-3</v>
      </c>
      <c r="AB80" s="57">
        <f t="shared" si="104"/>
        <v>3.5999999999999999E-3</v>
      </c>
      <c r="AC80" s="57">
        <f t="shared" si="104"/>
        <v>3.5999999999999999E-3</v>
      </c>
      <c r="AD80" s="57">
        <f t="shared" si="104"/>
        <v>3.5999999999999999E-3</v>
      </c>
      <c r="AE80" s="57">
        <f t="shared" si="104"/>
        <v>2.9000000000000015E-3</v>
      </c>
      <c r="AF80" s="57">
        <f t="shared" si="104"/>
        <v>2.7000000000000019E-3</v>
      </c>
      <c r="AG80" s="57">
        <f t="shared" si="104"/>
        <v>2.5000000000000022E-3</v>
      </c>
      <c r="AH80" s="57">
        <f t="shared" si="104"/>
        <v>2.100000000000002E-3</v>
      </c>
      <c r="AI80" s="57">
        <f t="shared" si="104"/>
        <v>2E-3</v>
      </c>
      <c r="AJ80" s="57">
        <f t="shared" si="104"/>
        <v>2E-3</v>
      </c>
      <c r="AK80" s="57">
        <f t="shared" si="104"/>
        <v>2E-3</v>
      </c>
      <c r="AL80" s="57">
        <f t="shared" si="104"/>
        <v>2E-3</v>
      </c>
      <c r="AM80" s="57">
        <f t="shared" si="104"/>
        <v>2E-3</v>
      </c>
      <c r="AN80" s="57">
        <f t="shared" si="104"/>
        <v>2E-3</v>
      </c>
      <c r="AO80" s="57">
        <f t="shared" si="104"/>
        <v>2E-3</v>
      </c>
    </row>
    <row r="81" spans="1:44">
      <c r="A81" s="108"/>
      <c r="B81" s="48" t="s">
        <v>21</v>
      </c>
      <c r="C81" s="57">
        <f t="shared" si="105"/>
        <v>7.6000000000000069E-3</v>
      </c>
      <c r="D81" s="57">
        <f t="shared" si="104"/>
        <v>7.6000000000000069E-3</v>
      </c>
      <c r="E81" s="57">
        <f t="shared" si="104"/>
        <v>7.8000000000000005E-3</v>
      </c>
      <c r="F81" s="57">
        <f t="shared" si="104"/>
        <v>7.8000000000000005E-3</v>
      </c>
      <c r="G81" s="57">
        <f t="shared" si="104"/>
        <v>7.9000000000000008E-3</v>
      </c>
      <c r="H81" s="57">
        <f t="shared" ref="D81:AO82" si="106">H60+0.2%</f>
        <v>7.9000000000000008E-3</v>
      </c>
      <c r="I81" s="57">
        <f t="shared" si="106"/>
        <v>8.0000000000000002E-3</v>
      </c>
      <c r="J81" s="57">
        <f t="shared" si="106"/>
        <v>8.2000000000000007E-3</v>
      </c>
      <c r="K81" s="57">
        <f t="shared" si="106"/>
        <v>8.4000000000000012E-3</v>
      </c>
      <c r="L81" s="57">
        <f t="shared" si="106"/>
        <v>8.4000000000000012E-3</v>
      </c>
      <c r="M81" s="57">
        <f t="shared" si="106"/>
        <v>8.4000000000000012E-3</v>
      </c>
      <c r="N81" s="57">
        <f t="shared" si="106"/>
        <v>7.1000000000000004E-3</v>
      </c>
      <c r="O81" s="57">
        <f t="shared" si="106"/>
        <v>7.1999999999999998E-3</v>
      </c>
      <c r="P81" s="57">
        <f t="shared" si="106"/>
        <v>7.4000000000000003E-3</v>
      </c>
      <c r="Q81" s="57">
        <f t="shared" si="106"/>
        <v>7.1999999999999998E-3</v>
      </c>
      <c r="R81" s="57">
        <f t="shared" si="106"/>
        <v>7.1000000000000004E-3</v>
      </c>
      <c r="S81" s="57">
        <f t="shared" si="106"/>
        <v>7.000000000000001E-3</v>
      </c>
      <c r="T81" s="57">
        <f t="shared" si="106"/>
        <v>6.9000000000000016E-3</v>
      </c>
      <c r="U81" s="57">
        <f t="shared" si="106"/>
        <v>6.5000000000000006E-3</v>
      </c>
      <c r="V81" s="57">
        <f t="shared" si="106"/>
        <v>6.2000000000000006E-3</v>
      </c>
      <c r="W81" s="57">
        <f t="shared" si="106"/>
        <v>5.3E-3</v>
      </c>
      <c r="X81" s="57">
        <f t="shared" si="106"/>
        <v>4.7999999999999996E-3</v>
      </c>
      <c r="Y81" s="57">
        <f t="shared" si="106"/>
        <v>4.0999999999999995E-3</v>
      </c>
      <c r="Z81" s="57">
        <f t="shared" si="106"/>
        <v>3.8999999999999998E-3</v>
      </c>
      <c r="AA81" s="57">
        <f t="shared" si="106"/>
        <v>3.5999999999999999E-3</v>
      </c>
      <c r="AB81" s="57">
        <f t="shared" si="106"/>
        <v>3.5999999999999999E-3</v>
      </c>
      <c r="AC81" s="57">
        <f t="shared" si="106"/>
        <v>3.5999999999999999E-3</v>
      </c>
      <c r="AD81" s="57">
        <f t="shared" si="106"/>
        <v>3.5999999999999999E-3</v>
      </c>
      <c r="AE81" s="57">
        <f t="shared" si="106"/>
        <v>2.9000000000000015E-3</v>
      </c>
      <c r="AF81" s="57">
        <f t="shared" si="106"/>
        <v>2.7000000000000019E-3</v>
      </c>
      <c r="AG81" s="57">
        <f t="shared" si="106"/>
        <v>2.5000000000000022E-3</v>
      </c>
      <c r="AH81" s="57">
        <f t="shared" si="106"/>
        <v>2.100000000000002E-3</v>
      </c>
      <c r="AI81" s="57">
        <f t="shared" si="106"/>
        <v>2E-3</v>
      </c>
      <c r="AJ81" s="57">
        <f t="shared" si="106"/>
        <v>2E-3</v>
      </c>
      <c r="AK81" s="57">
        <f t="shared" si="106"/>
        <v>2E-3</v>
      </c>
      <c r="AL81" s="57">
        <f t="shared" si="106"/>
        <v>2E-3</v>
      </c>
      <c r="AM81" s="57">
        <f t="shared" si="106"/>
        <v>2E-3</v>
      </c>
      <c r="AN81" s="57">
        <f t="shared" si="106"/>
        <v>2E-3</v>
      </c>
      <c r="AO81" s="57">
        <f t="shared" si="106"/>
        <v>2E-3</v>
      </c>
    </row>
    <row r="82" spans="1:44">
      <c r="A82" s="109"/>
      <c r="B82" s="49" t="s">
        <v>22</v>
      </c>
      <c r="C82" s="57">
        <f t="shared" si="105"/>
        <v>7.6000000000000069E-3</v>
      </c>
      <c r="D82" s="57">
        <f t="shared" si="106"/>
        <v>7.6000000000000069E-3</v>
      </c>
      <c r="E82" s="57">
        <f t="shared" si="106"/>
        <v>7.8000000000000005E-3</v>
      </c>
      <c r="F82" s="57">
        <f t="shared" si="106"/>
        <v>7.8000000000000005E-3</v>
      </c>
      <c r="G82" s="57">
        <f t="shared" si="106"/>
        <v>7.9000000000000008E-3</v>
      </c>
      <c r="H82" s="57">
        <f t="shared" si="106"/>
        <v>7.9000000000000008E-3</v>
      </c>
      <c r="I82" s="57">
        <f t="shared" si="106"/>
        <v>8.0000000000000002E-3</v>
      </c>
      <c r="J82" s="57">
        <f t="shared" si="106"/>
        <v>8.2000000000000007E-3</v>
      </c>
      <c r="K82" s="57">
        <f t="shared" si="106"/>
        <v>8.4000000000000012E-3</v>
      </c>
      <c r="L82" s="57">
        <f t="shared" ref="L82:AO82" si="107">L61+0.2%</f>
        <v>8.4000000000000012E-3</v>
      </c>
      <c r="M82" s="57">
        <f t="shared" si="107"/>
        <v>8.4000000000000012E-3</v>
      </c>
      <c r="N82" s="57">
        <f t="shared" si="107"/>
        <v>7.1000000000000004E-3</v>
      </c>
      <c r="O82" s="57">
        <f t="shared" si="107"/>
        <v>7.1999999999999998E-3</v>
      </c>
      <c r="P82" s="57">
        <f t="shared" si="107"/>
        <v>7.4000000000000003E-3</v>
      </c>
      <c r="Q82" s="57">
        <f t="shared" si="107"/>
        <v>7.1999999999999998E-3</v>
      </c>
      <c r="R82" s="57">
        <f t="shared" si="107"/>
        <v>7.1000000000000004E-3</v>
      </c>
      <c r="S82" s="57">
        <f t="shared" si="107"/>
        <v>7.000000000000001E-3</v>
      </c>
      <c r="T82" s="57">
        <f t="shared" si="107"/>
        <v>6.9000000000000016E-3</v>
      </c>
      <c r="U82" s="57">
        <f t="shared" si="107"/>
        <v>6.5000000000000006E-3</v>
      </c>
      <c r="V82" s="57">
        <f t="shared" si="107"/>
        <v>6.2000000000000006E-3</v>
      </c>
      <c r="W82" s="57">
        <f t="shared" si="107"/>
        <v>5.3E-3</v>
      </c>
      <c r="X82" s="57">
        <f t="shared" si="107"/>
        <v>4.7999999999999996E-3</v>
      </c>
      <c r="Y82" s="57">
        <f t="shared" si="107"/>
        <v>4.0999999999999995E-3</v>
      </c>
      <c r="Z82" s="57">
        <f t="shared" si="107"/>
        <v>3.8999999999999998E-3</v>
      </c>
      <c r="AA82" s="57">
        <f t="shared" si="107"/>
        <v>3.5999999999999999E-3</v>
      </c>
      <c r="AB82" s="57">
        <f t="shared" si="107"/>
        <v>3.5999999999999999E-3</v>
      </c>
      <c r="AC82" s="57">
        <f t="shared" si="107"/>
        <v>3.5999999999999999E-3</v>
      </c>
      <c r="AD82" s="57">
        <f t="shared" si="107"/>
        <v>3.5999999999999999E-3</v>
      </c>
      <c r="AE82" s="57">
        <f t="shared" si="107"/>
        <v>2.9000000000000015E-3</v>
      </c>
      <c r="AF82" s="57">
        <f t="shared" si="107"/>
        <v>2.7000000000000019E-3</v>
      </c>
      <c r="AG82" s="57">
        <f t="shared" si="107"/>
        <v>2.5000000000000022E-3</v>
      </c>
      <c r="AH82" s="57">
        <f t="shared" si="107"/>
        <v>2.100000000000002E-3</v>
      </c>
      <c r="AI82" s="57">
        <f t="shared" si="107"/>
        <v>2E-3</v>
      </c>
      <c r="AJ82" s="57">
        <f t="shared" si="107"/>
        <v>2E-3</v>
      </c>
      <c r="AK82" s="57">
        <f t="shared" si="107"/>
        <v>2E-3</v>
      </c>
      <c r="AL82" s="57">
        <f t="shared" si="107"/>
        <v>2E-3</v>
      </c>
      <c r="AM82" s="57">
        <f t="shared" si="107"/>
        <v>2E-3</v>
      </c>
      <c r="AN82" s="57">
        <f t="shared" si="107"/>
        <v>2E-3</v>
      </c>
      <c r="AO82" s="57">
        <f t="shared" si="107"/>
        <v>2E-3</v>
      </c>
    </row>
    <row r="83" spans="1:44">
      <c r="A83" s="107">
        <v>3</v>
      </c>
      <c r="B83" s="50" t="s">
        <v>24</v>
      </c>
      <c r="C83" s="57"/>
      <c r="D83" s="57"/>
      <c r="E83" s="57"/>
      <c r="F83" s="57"/>
      <c r="G83" s="57"/>
      <c r="H83" s="57"/>
      <c r="I83" s="57"/>
      <c r="J83" s="57"/>
      <c r="K83" s="57">
        <f t="shared" ref="K83:AO83" si="108">K62+0.2%</f>
        <v>7.0000000000000001E-3</v>
      </c>
      <c r="L83" s="57">
        <f t="shared" si="108"/>
        <v>7.1000000000000004E-3</v>
      </c>
      <c r="M83" s="57">
        <f t="shared" si="108"/>
        <v>7.2000000000000007E-3</v>
      </c>
      <c r="N83" s="57">
        <f t="shared" si="108"/>
        <v>7.3000000000000009E-3</v>
      </c>
      <c r="O83" s="57">
        <f t="shared" si="108"/>
        <v>7.3000000000000009E-3</v>
      </c>
      <c r="P83" s="57">
        <f t="shared" si="108"/>
        <v>7.3000000000000009E-3</v>
      </c>
      <c r="Q83" s="57">
        <f t="shared" si="108"/>
        <v>7.3000000000000009E-3</v>
      </c>
      <c r="R83" s="57">
        <f t="shared" si="108"/>
        <v>7.3000000000000009E-3</v>
      </c>
      <c r="S83" s="57">
        <f t="shared" si="108"/>
        <v>7.2000000000000007E-3</v>
      </c>
      <c r="T83" s="57">
        <f t="shared" si="108"/>
        <v>7.2000000000000007E-3</v>
      </c>
      <c r="U83" s="57">
        <f t="shared" si="108"/>
        <v>7.2000000000000007E-3</v>
      </c>
      <c r="V83" s="57">
        <f t="shared" si="108"/>
        <v>7.0000000000000001E-3</v>
      </c>
      <c r="W83" s="57">
        <f t="shared" si="108"/>
        <v>7.0000000000000001E-3</v>
      </c>
      <c r="X83" s="57">
        <f t="shared" si="108"/>
        <v>7.0000000000000001E-3</v>
      </c>
      <c r="Y83" s="57">
        <f t="shared" si="108"/>
        <v>7.0000000000000001E-3</v>
      </c>
      <c r="Z83" s="57">
        <f t="shared" si="108"/>
        <v>6.6E-3</v>
      </c>
      <c r="AA83" s="57">
        <f t="shared" si="108"/>
        <v>6.6E-3</v>
      </c>
      <c r="AB83" s="57">
        <f t="shared" si="108"/>
        <v>6.6E-3</v>
      </c>
      <c r="AC83" s="57">
        <f t="shared" si="108"/>
        <v>6.1999999999999998E-3</v>
      </c>
      <c r="AD83" s="57">
        <f t="shared" si="108"/>
        <v>5.4999999999999997E-3</v>
      </c>
      <c r="AE83" s="57">
        <f t="shared" si="108"/>
        <v>4.7999999999999996E-3</v>
      </c>
      <c r="AF83" s="57">
        <f t="shared" si="108"/>
        <v>4.0999999999999995E-3</v>
      </c>
      <c r="AG83" s="57">
        <f t="shared" si="108"/>
        <v>3.3999999999999994E-3</v>
      </c>
      <c r="AH83" s="57">
        <f t="shared" si="108"/>
        <v>2.6999999999999993E-3</v>
      </c>
      <c r="AI83" s="57">
        <f t="shared" si="108"/>
        <v>3.5999999999999938E-3</v>
      </c>
      <c r="AJ83" s="57">
        <f t="shared" si="108"/>
        <v>3.0999999999999934E-3</v>
      </c>
      <c r="AK83" s="57">
        <f t="shared" si="108"/>
        <v>2.5999999999999929E-3</v>
      </c>
      <c r="AL83" s="57">
        <f t="shared" si="108"/>
        <v>2.0999999999999925E-3</v>
      </c>
      <c r="AM83" s="57">
        <f t="shared" si="108"/>
        <v>2E-3</v>
      </c>
      <c r="AN83" s="57">
        <f t="shared" si="108"/>
        <v>2E-3</v>
      </c>
      <c r="AO83" s="57">
        <f t="shared" si="108"/>
        <v>2E-3</v>
      </c>
    </row>
    <row r="84" spans="1:44">
      <c r="A84" s="108"/>
      <c r="B84" s="50" t="s">
        <v>25</v>
      </c>
      <c r="C84" s="57"/>
      <c r="D84" s="57"/>
      <c r="E84" s="57"/>
      <c r="F84" s="57"/>
      <c r="G84" s="57"/>
      <c r="H84" s="57"/>
      <c r="I84" s="57"/>
      <c r="J84" s="57"/>
      <c r="K84" s="57">
        <f t="shared" ref="K84:AO84" si="109">K63+0.2%</f>
        <v>7.0000000000000001E-3</v>
      </c>
      <c r="L84" s="57">
        <f t="shared" si="109"/>
        <v>7.1000000000000004E-3</v>
      </c>
      <c r="M84" s="57">
        <f t="shared" si="109"/>
        <v>7.2000000000000007E-3</v>
      </c>
      <c r="N84" s="57">
        <f t="shared" si="109"/>
        <v>7.3000000000000009E-3</v>
      </c>
      <c r="O84" s="57">
        <f t="shared" si="109"/>
        <v>7.3000000000000009E-3</v>
      </c>
      <c r="P84" s="57">
        <f t="shared" si="109"/>
        <v>7.3000000000000009E-3</v>
      </c>
      <c r="Q84" s="57">
        <f t="shared" si="109"/>
        <v>7.3000000000000009E-3</v>
      </c>
      <c r="R84" s="57">
        <f t="shared" si="109"/>
        <v>7.3000000000000009E-3</v>
      </c>
      <c r="S84" s="57">
        <f t="shared" si="109"/>
        <v>7.2000000000000007E-3</v>
      </c>
      <c r="T84" s="57">
        <f t="shared" si="109"/>
        <v>7.2000000000000007E-3</v>
      </c>
      <c r="U84" s="57">
        <f t="shared" si="109"/>
        <v>7.2000000000000007E-3</v>
      </c>
      <c r="V84" s="57">
        <f t="shared" si="109"/>
        <v>7.0000000000000001E-3</v>
      </c>
      <c r="W84" s="57">
        <f t="shared" si="109"/>
        <v>7.0000000000000001E-3</v>
      </c>
      <c r="X84" s="57">
        <f t="shared" si="109"/>
        <v>7.0000000000000001E-3</v>
      </c>
      <c r="Y84" s="57">
        <f t="shared" si="109"/>
        <v>7.0000000000000001E-3</v>
      </c>
      <c r="Z84" s="57">
        <f t="shared" si="109"/>
        <v>6.6E-3</v>
      </c>
      <c r="AA84" s="57">
        <f t="shared" si="109"/>
        <v>6.6E-3</v>
      </c>
      <c r="AB84" s="57">
        <f t="shared" si="109"/>
        <v>6.6E-3</v>
      </c>
      <c r="AC84" s="57">
        <f t="shared" si="109"/>
        <v>6.1999999999999998E-3</v>
      </c>
      <c r="AD84" s="57">
        <f t="shared" si="109"/>
        <v>5.4999999999999997E-3</v>
      </c>
      <c r="AE84" s="57">
        <f t="shared" si="109"/>
        <v>4.7999999999999996E-3</v>
      </c>
      <c r="AF84" s="57">
        <f t="shared" si="109"/>
        <v>4.0999999999999995E-3</v>
      </c>
      <c r="AG84" s="57">
        <f t="shared" si="109"/>
        <v>3.3999999999999994E-3</v>
      </c>
      <c r="AH84" s="57">
        <f t="shared" si="109"/>
        <v>2.6999999999999993E-3</v>
      </c>
      <c r="AI84" s="57">
        <f t="shared" si="109"/>
        <v>3.5999999999999938E-3</v>
      </c>
      <c r="AJ84" s="57">
        <f t="shared" si="109"/>
        <v>3.0999999999999934E-3</v>
      </c>
      <c r="AK84" s="57">
        <f t="shared" si="109"/>
        <v>2.5999999999999929E-3</v>
      </c>
      <c r="AL84" s="57">
        <f t="shared" si="109"/>
        <v>2.0999999999999925E-3</v>
      </c>
      <c r="AM84" s="57">
        <f t="shared" si="109"/>
        <v>2E-3</v>
      </c>
      <c r="AN84" s="57">
        <f t="shared" si="109"/>
        <v>2E-3</v>
      </c>
      <c r="AO84" s="57">
        <f t="shared" si="109"/>
        <v>2E-3</v>
      </c>
    </row>
    <row r="85" spans="1:44">
      <c r="A85" s="108"/>
      <c r="B85" s="50" t="s">
        <v>26</v>
      </c>
      <c r="C85" s="57"/>
      <c r="D85" s="57"/>
      <c r="E85" s="57"/>
      <c r="F85" s="57"/>
      <c r="G85" s="57"/>
      <c r="H85" s="57"/>
      <c r="I85" s="57"/>
      <c r="J85" s="57"/>
      <c r="K85" s="57">
        <f t="shared" ref="K85:AO85" si="110">K64+0.2%</f>
        <v>7.0000000000000001E-3</v>
      </c>
      <c r="L85" s="57">
        <f t="shared" si="110"/>
        <v>7.1000000000000004E-3</v>
      </c>
      <c r="M85" s="57">
        <f t="shared" si="110"/>
        <v>7.2000000000000007E-3</v>
      </c>
      <c r="N85" s="57">
        <f t="shared" si="110"/>
        <v>7.3000000000000009E-3</v>
      </c>
      <c r="O85" s="57">
        <f t="shared" si="110"/>
        <v>7.3000000000000009E-3</v>
      </c>
      <c r="P85" s="57">
        <f t="shared" si="110"/>
        <v>7.3000000000000009E-3</v>
      </c>
      <c r="Q85" s="57">
        <f t="shared" si="110"/>
        <v>7.3000000000000009E-3</v>
      </c>
      <c r="R85" s="57">
        <f t="shared" si="110"/>
        <v>7.3000000000000009E-3</v>
      </c>
      <c r="S85" s="57">
        <f t="shared" si="110"/>
        <v>7.2000000000000007E-3</v>
      </c>
      <c r="T85" s="57">
        <f t="shared" si="110"/>
        <v>7.2000000000000007E-3</v>
      </c>
      <c r="U85" s="57">
        <f t="shared" si="110"/>
        <v>7.2000000000000007E-3</v>
      </c>
      <c r="V85" s="57">
        <f t="shared" si="110"/>
        <v>7.0000000000000001E-3</v>
      </c>
      <c r="W85" s="57">
        <f t="shared" si="110"/>
        <v>7.0000000000000001E-3</v>
      </c>
      <c r="X85" s="57">
        <f t="shared" si="110"/>
        <v>7.0000000000000001E-3</v>
      </c>
      <c r="Y85" s="57">
        <f t="shared" si="110"/>
        <v>7.0000000000000001E-3</v>
      </c>
      <c r="Z85" s="57">
        <f t="shared" si="110"/>
        <v>6.6E-3</v>
      </c>
      <c r="AA85" s="57">
        <f t="shared" si="110"/>
        <v>6.6E-3</v>
      </c>
      <c r="AB85" s="57">
        <f t="shared" si="110"/>
        <v>6.6E-3</v>
      </c>
      <c r="AC85" s="57">
        <f t="shared" si="110"/>
        <v>6.1999999999999998E-3</v>
      </c>
      <c r="AD85" s="57">
        <f t="shared" si="110"/>
        <v>5.4999999999999997E-3</v>
      </c>
      <c r="AE85" s="57">
        <f t="shared" si="110"/>
        <v>4.7999999999999996E-3</v>
      </c>
      <c r="AF85" s="57">
        <f t="shared" si="110"/>
        <v>4.0999999999999995E-3</v>
      </c>
      <c r="AG85" s="57">
        <f t="shared" si="110"/>
        <v>3.3999999999999994E-3</v>
      </c>
      <c r="AH85" s="57">
        <f t="shared" si="110"/>
        <v>2.6999999999999993E-3</v>
      </c>
      <c r="AI85" s="57">
        <f t="shared" si="110"/>
        <v>3.5999999999999938E-3</v>
      </c>
      <c r="AJ85" s="57">
        <f t="shared" si="110"/>
        <v>3.0999999999999934E-3</v>
      </c>
      <c r="AK85" s="57">
        <f t="shared" si="110"/>
        <v>2.5999999999999929E-3</v>
      </c>
      <c r="AL85" s="57">
        <f t="shared" si="110"/>
        <v>2.0999999999999925E-3</v>
      </c>
      <c r="AM85" s="57">
        <f t="shared" si="110"/>
        <v>2E-3</v>
      </c>
      <c r="AN85" s="57">
        <f t="shared" si="110"/>
        <v>2E-3</v>
      </c>
      <c r="AO85" s="57">
        <f t="shared" si="110"/>
        <v>2E-3</v>
      </c>
    </row>
    <row r="86" spans="1:44">
      <c r="A86" s="109"/>
      <c r="B86" s="50" t="s">
        <v>28</v>
      </c>
      <c r="C86" s="57"/>
      <c r="D86" s="57"/>
      <c r="E86" s="57"/>
      <c r="F86" s="57"/>
      <c r="G86" s="57"/>
      <c r="H86" s="57"/>
      <c r="I86" s="57"/>
      <c r="J86" s="57"/>
      <c r="K86" s="57">
        <f t="shared" ref="K86:AO86" si="111">K65+0.2%</f>
        <v>7.0000000000000001E-3</v>
      </c>
      <c r="L86" s="57">
        <f t="shared" si="111"/>
        <v>7.1000000000000004E-3</v>
      </c>
      <c r="M86" s="57">
        <f t="shared" si="111"/>
        <v>7.2000000000000007E-3</v>
      </c>
      <c r="N86" s="57">
        <f t="shared" si="111"/>
        <v>7.3000000000000009E-3</v>
      </c>
      <c r="O86" s="57">
        <f t="shared" si="111"/>
        <v>7.3000000000000009E-3</v>
      </c>
      <c r="P86" s="57">
        <f t="shared" si="111"/>
        <v>7.3000000000000009E-3</v>
      </c>
      <c r="Q86" s="57">
        <f t="shared" si="111"/>
        <v>7.3000000000000009E-3</v>
      </c>
      <c r="R86" s="57">
        <f t="shared" si="111"/>
        <v>7.3000000000000009E-3</v>
      </c>
      <c r="S86" s="57">
        <f t="shared" si="111"/>
        <v>7.2000000000000007E-3</v>
      </c>
      <c r="T86" s="57">
        <f t="shared" si="111"/>
        <v>7.2000000000000007E-3</v>
      </c>
      <c r="U86" s="57">
        <f t="shared" si="111"/>
        <v>7.2000000000000007E-3</v>
      </c>
      <c r="V86" s="57">
        <f t="shared" si="111"/>
        <v>7.0000000000000001E-3</v>
      </c>
      <c r="W86" s="57">
        <f t="shared" si="111"/>
        <v>7.0000000000000001E-3</v>
      </c>
      <c r="X86" s="57">
        <f t="shared" si="111"/>
        <v>7.0000000000000001E-3</v>
      </c>
      <c r="Y86" s="57">
        <f t="shared" si="111"/>
        <v>7.0000000000000001E-3</v>
      </c>
      <c r="Z86" s="57">
        <f t="shared" si="111"/>
        <v>6.6E-3</v>
      </c>
      <c r="AA86" s="57">
        <f t="shared" si="111"/>
        <v>6.6E-3</v>
      </c>
      <c r="AB86" s="57">
        <f t="shared" si="111"/>
        <v>6.6E-3</v>
      </c>
      <c r="AC86" s="57">
        <f t="shared" si="111"/>
        <v>6.1999999999999998E-3</v>
      </c>
      <c r="AD86" s="57">
        <f t="shared" si="111"/>
        <v>5.4999999999999997E-3</v>
      </c>
      <c r="AE86" s="57">
        <f t="shared" si="111"/>
        <v>4.7999999999999996E-3</v>
      </c>
      <c r="AF86" s="57">
        <f t="shared" si="111"/>
        <v>4.0999999999999995E-3</v>
      </c>
      <c r="AG86" s="57">
        <f t="shared" si="111"/>
        <v>3.3999999999999994E-3</v>
      </c>
      <c r="AH86" s="57">
        <f t="shared" si="111"/>
        <v>2.6999999999999993E-3</v>
      </c>
      <c r="AI86" s="57">
        <f t="shared" si="111"/>
        <v>3.5999999999999938E-3</v>
      </c>
      <c r="AJ86" s="57">
        <f t="shared" si="111"/>
        <v>3.0999999999999934E-3</v>
      </c>
      <c r="AK86" s="57">
        <f t="shared" si="111"/>
        <v>2.5999999999999929E-3</v>
      </c>
      <c r="AL86" s="57">
        <f t="shared" si="111"/>
        <v>2.0999999999999925E-3</v>
      </c>
      <c r="AM86" s="57">
        <f t="shared" si="111"/>
        <v>2E-3</v>
      </c>
      <c r="AN86" s="57">
        <f t="shared" si="111"/>
        <v>2E-3</v>
      </c>
      <c r="AO86" s="57">
        <f t="shared" si="111"/>
        <v>2E-3</v>
      </c>
    </row>
    <row r="87" spans="1:44">
      <c r="A87" s="107">
        <v>4</v>
      </c>
      <c r="B87" s="51" t="s">
        <v>30</v>
      </c>
      <c r="C87" s="57"/>
      <c r="D87" s="57"/>
      <c r="E87" s="57"/>
      <c r="F87" s="57"/>
      <c r="G87" s="57"/>
      <c r="H87" s="57"/>
      <c r="I87" s="57"/>
      <c r="J87" s="57"/>
      <c r="K87" s="57">
        <f t="shared" ref="K87:AO87" si="112">K66+0.2%</f>
        <v>2E-3</v>
      </c>
      <c r="L87" s="57">
        <f t="shared" si="112"/>
        <v>2E-3</v>
      </c>
      <c r="M87" s="57">
        <f t="shared" si="112"/>
        <v>2E-3</v>
      </c>
      <c r="N87" s="57">
        <f t="shared" si="112"/>
        <v>6.0000000000000001E-3</v>
      </c>
      <c r="O87" s="57">
        <f t="shared" si="112"/>
        <v>6.2999999999999983E-3</v>
      </c>
      <c r="P87" s="57">
        <f t="shared" si="112"/>
        <v>6.6E-3</v>
      </c>
      <c r="Q87" s="57">
        <f t="shared" si="112"/>
        <v>6.8999999999999981E-3</v>
      </c>
      <c r="R87" s="57">
        <f t="shared" si="112"/>
        <v>7.1999999999999998E-3</v>
      </c>
      <c r="S87" s="57">
        <f t="shared" si="112"/>
        <v>7.499999999999998E-3</v>
      </c>
      <c r="T87" s="57">
        <f t="shared" si="112"/>
        <v>7.7999999999999996E-3</v>
      </c>
      <c r="U87" s="57">
        <f t="shared" si="112"/>
        <v>8.0999999999999978E-3</v>
      </c>
      <c r="V87" s="57">
        <f t="shared" si="112"/>
        <v>8.3999999999999995E-3</v>
      </c>
      <c r="W87" s="57">
        <f t="shared" si="112"/>
        <v>8.6999999999999977E-3</v>
      </c>
      <c r="X87" s="57">
        <f t="shared" si="112"/>
        <v>8.9999999999999993E-3</v>
      </c>
      <c r="Y87" s="57">
        <f t="shared" si="112"/>
        <v>9.2999999999999975E-3</v>
      </c>
      <c r="Z87" s="57">
        <f t="shared" si="112"/>
        <v>9.5999999999999992E-3</v>
      </c>
      <c r="AA87" s="57">
        <f t="shared" si="112"/>
        <v>9.0999999999999987E-3</v>
      </c>
      <c r="AB87" s="57">
        <f t="shared" si="112"/>
        <v>8.5999999999999983E-3</v>
      </c>
      <c r="AC87" s="57">
        <f t="shared" si="112"/>
        <v>7.9999999999999984E-3</v>
      </c>
      <c r="AD87" s="57">
        <f t="shared" si="112"/>
        <v>7.3999999999999986E-3</v>
      </c>
      <c r="AE87" s="57">
        <f t="shared" si="112"/>
        <v>6.7999999999999988E-3</v>
      </c>
      <c r="AF87" s="57">
        <f t="shared" si="112"/>
        <v>6.1999999999999989E-3</v>
      </c>
      <c r="AG87" s="57">
        <f t="shared" si="112"/>
        <v>5.5999999999999991E-3</v>
      </c>
      <c r="AH87" s="57">
        <f t="shared" si="112"/>
        <v>4.9999999999999992E-3</v>
      </c>
      <c r="AI87" s="57">
        <f t="shared" si="112"/>
        <v>4.3999999999999994E-3</v>
      </c>
      <c r="AJ87" s="57">
        <f t="shared" si="112"/>
        <v>3.7999999999999996E-3</v>
      </c>
      <c r="AK87" s="57">
        <f t="shared" si="112"/>
        <v>3.1999999999999997E-3</v>
      </c>
      <c r="AL87" s="57">
        <f t="shared" si="112"/>
        <v>2.0999999999999925E-3</v>
      </c>
      <c r="AM87" s="57">
        <f t="shared" si="112"/>
        <v>2E-3</v>
      </c>
      <c r="AN87" s="57">
        <f t="shared" si="112"/>
        <v>2E-3</v>
      </c>
      <c r="AO87" s="57">
        <f t="shared" si="112"/>
        <v>2E-3</v>
      </c>
    </row>
    <row r="88" spans="1:44">
      <c r="A88" s="108"/>
      <c r="B88" s="52" t="s">
        <v>31</v>
      </c>
      <c r="C88" s="57"/>
      <c r="D88" s="57"/>
      <c r="E88" s="57"/>
      <c r="F88" s="57"/>
      <c r="G88" s="57"/>
      <c r="H88" s="57"/>
      <c r="I88" s="57"/>
      <c r="J88" s="57"/>
      <c r="K88" s="57">
        <f t="shared" ref="K88:AO88" si="113">K67+0.2%</f>
        <v>2E-3</v>
      </c>
      <c r="L88" s="57">
        <f t="shared" si="113"/>
        <v>2E-3</v>
      </c>
      <c r="M88" s="57">
        <f t="shared" si="113"/>
        <v>2E-3</v>
      </c>
      <c r="N88" s="57">
        <f t="shared" si="113"/>
        <v>6.0000000000000001E-3</v>
      </c>
      <c r="O88" s="57">
        <f t="shared" si="113"/>
        <v>6.2999999999999983E-3</v>
      </c>
      <c r="P88" s="57">
        <f t="shared" si="113"/>
        <v>6.6E-3</v>
      </c>
      <c r="Q88" s="57">
        <f t="shared" si="113"/>
        <v>6.8999999999999981E-3</v>
      </c>
      <c r="R88" s="57">
        <f t="shared" si="113"/>
        <v>7.1999999999999998E-3</v>
      </c>
      <c r="S88" s="57">
        <f t="shared" si="113"/>
        <v>7.499999999999998E-3</v>
      </c>
      <c r="T88" s="57">
        <f t="shared" si="113"/>
        <v>7.7999999999999996E-3</v>
      </c>
      <c r="U88" s="57">
        <f t="shared" si="113"/>
        <v>8.0999999999999978E-3</v>
      </c>
      <c r="V88" s="57">
        <f t="shared" si="113"/>
        <v>8.3999999999999995E-3</v>
      </c>
      <c r="W88" s="57">
        <f t="shared" si="113"/>
        <v>8.6999999999999977E-3</v>
      </c>
      <c r="X88" s="57">
        <f t="shared" si="113"/>
        <v>8.9999999999999993E-3</v>
      </c>
      <c r="Y88" s="57">
        <f t="shared" si="113"/>
        <v>9.2999999999999975E-3</v>
      </c>
      <c r="Z88" s="57">
        <f t="shared" si="113"/>
        <v>9.5999999999999992E-3</v>
      </c>
      <c r="AA88" s="57">
        <f t="shared" si="113"/>
        <v>9.0999999999999987E-3</v>
      </c>
      <c r="AB88" s="57">
        <f t="shared" si="113"/>
        <v>8.5999999999999983E-3</v>
      </c>
      <c r="AC88" s="57">
        <f t="shared" si="113"/>
        <v>7.9999999999999984E-3</v>
      </c>
      <c r="AD88" s="57">
        <f t="shared" si="113"/>
        <v>7.3999999999999986E-3</v>
      </c>
      <c r="AE88" s="57">
        <f t="shared" si="113"/>
        <v>6.7999999999999988E-3</v>
      </c>
      <c r="AF88" s="57">
        <f t="shared" si="113"/>
        <v>6.1999999999999989E-3</v>
      </c>
      <c r="AG88" s="57">
        <f t="shared" si="113"/>
        <v>5.5999999999999991E-3</v>
      </c>
      <c r="AH88" s="57">
        <f t="shared" si="113"/>
        <v>4.9999999999999992E-3</v>
      </c>
      <c r="AI88" s="57">
        <f t="shared" si="113"/>
        <v>4.3999999999999994E-3</v>
      </c>
      <c r="AJ88" s="57">
        <f t="shared" si="113"/>
        <v>3.7999999999999996E-3</v>
      </c>
      <c r="AK88" s="57">
        <f t="shared" si="113"/>
        <v>3.1999999999999997E-3</v>
      </c>
      <c r="AL88" s="57">
        <f t="shared" si="113"/>
        <v>2.0999999999999925E-3</v>
      </c>
      <c r="AM88" s="57">
        <f t="shared" si="113"/>
        <v>2E-3</v>
      </c>
      <c r="AN88" s="57">
        <f t="shared" si="113"/>
        <v>2E-3</v>
      </c>
      <c r="AO88" s="57">
        <f t="shared" si="113"/>
        <v>2E-3</v>
      </c>
    </row>
    <row r="89" spans="1:44">
      <c r="A89" s="108"/>
      <c r="B89" s="52" t="s">
        <v>32</v>
      </c>
      <c r="C89" s="57"/>
      <c r="D89" s="57"/>
      <c r="E89" s="57"/>
      <c r="F89" s="57"/>
      <c r="G89" s="57"/>
      <c r="H89" s="57"/>
      <c r="I89" s="57"/>
      <c r="J89" s="57"/>
      <c r="K89" s="57">
        <f t="shared" ref="K89:AO89" si="114">K68+0.2%</f>
        <v>2E-3</v>
      </c>
      <c r="L89" s="57">
        <f t="shared" si="114"/>
        <v>2E-3</v>
      </c>
      <c r="M89" s="57">
        <f t="shared" si="114"/>
        <v>2E-3</v>
      </c>
      <c r="N89" s="57">
        <f t="shared" si="114"/>
        <v>6.0000000000000001E-3</v>
      </c>
      <c r="O89" s="57">
        <f t="shared" si="114"/>
        <v>6.2999999999999983E-3</v>
      </c>
      <c r="P89" s="57">
        <f t="shared" si="114"/>
        <v>6.6E-3</v>
      </c>
      <c r="Q89" s="57">
        <f t="shared" si="114"/>
        <v>6.8999999999999981E-3</v>
      </c>
      <c r="R89" s="57">
        <f t="shared" si="114"/>
        <v>7.1999999999999998E-3</v>
      </c>
      <c r="S89" s="57">
        <f t="shared" si="114"/>
        <v>7.499999999999998E-3</v>
      </c>
      <c r="T89" s="57">
        <f t="shared" si="114"/>
        <v>7.7999999999999996E-3</v>
      </c>
      <c r="U89" s="57">
        <f t="shared" si="114"/>
        <v>8.0999999999999978E-3</v>
      </c>
      <c r="V89" s="57">
        <f t="shared" si="114"/>
        <v>8.3999999999999995E-3</v>
      </c>
      <c r="W89" s="57">
        <f t="shared" si="114"/>
        <v>8.6999999999999977E-3</v>
      </c>
      <c r="X89" s="57">
        <f t="shared" si="114"/>
        <v>8.9999999999999993E-3</v>
      </c>
      <c r="Y89" s="57">
        <f t="shared" si="114"/>
        <v>9.2999999999999975E-3</v>
      </c>
      <c r="Z89" s="57">
        <f t="shared" si="114"/>
        <v>9.5999999999999992E-3</v>
      </c>
      <c r="AA89" s="57">
        <f t="shared" si="114"/>
        <v>9.0999999999999987E-3</v>
      </c>
      <c r="AB89" s="57">
        <f t="shared" si="114"/>
        <v>8.5999999999999983E-3</v>
      </c>
      <c r="AC89" s="57">
        <f t="shared" si="114"/>
        <v>7.9999999999999984E-3</v>
      </c>
      <c r="AD89" s="57">
        <f t="shared" si="114"/>
        <v>7.3999999999999986E-3</v>
      </c>
      <c r="AE89" s="57">
        <f t="shared" si="114"/>
        <v>6.7999999999999988E-3</v>
      </c>
      <c r="AF89" s="57">
        <f t="shared" si="114"/>
        <v>6.1999999999999989E-3</v>
      </c>
      <c r="AG89" s="57">
        <f t="shared" si="114"/>
        <v>5.5999999999999991E-3</v>
      </c>
      <c r="AH89" s="57">
        <f t="shared" si="114"/>
        <v>4.9999999999999992E-3</v>
      </c>
      <c r="AI89" s="57">
        <f t="shared" si="114"/>
        <v>4.3999999999999994E-3</v>
      </c>
      <c r="AJ89" s="57">
        <f t="shared" si="114"/>
        <v>3.7999999999999996E-3</v>
      </c>
      <c r="AK89" s="57">
        <f t="shared" si="114"/>
        <v>3.1999999999999997E-3</v>
      </c>
      <c r="AL89" s="57">
        <f t="shared" si="114"/>
        <v>2.0999999999999925E-3</v>
      </c>
      <c r="AM89" s="57">
        <f t="shared" si="114"/>
        <v>2E-3</v>
      </c>
      <c r="AN89" s="57">
        <f t="shared" si="114"/>
        <v>2E-3</v>
      </c>
      <c r="AO89" s="57">
        <f t="shared" si="114"/>
        <v>2E-3</v>
      </c>
    </row>
    <row r="90" spans="1:44" ht="15" thickBot="1">
      <c r="A90" s="109"/>
      <c r="B90" s="53" t="s">
        <v>29</v>
      </c>
      <c r="C90" s="57"/>
      <c r="D90" s="57"/>
      <c r="E90" s="57"/>
      <c r="F90" s="57"/>
      <c r="G90" s="57"/>
      <c r="H90" s="57"/>
      <c r="I90" s="57"/>
      <c r="J90" s="57"/>
      <c r="K90" s="57">
        <f t="shared" ref="K90:AO90" si="115">K69+0.2%</f>
        <v>2E-3</v>
      </c>
      <c r="L90" s="57">
        <f t="shared" si="115"/>
        <v>2E-3</v>
      </c>
      <c r="M90" s="57">
        <f t="shared" si="115"/>
        <v>2E-3</v>
      </c>
      <c r="N90" s="57">
        <f t="shared" si="115"/>
        <v>6.0000000000000001E-3</v>
      </c>
      <c r="O90" s="57">
        <f t="shared" si="115"/>
        <v>6.2999999999999983E-3</v>
      </c>
      <c r="P90" s="57">
        <f t="shared" si="115"/>
        <v>6.6E-3</v>
      </c>
      <c r="Q90" s="57">
        <f t="shared" si="115"/>
        <v>6.8999999999999981E-3</v>
      </c>
      <c r="R90" s="57">
        <f t="shared" si="115"/>
        <v>7.1999999999999998E-3</v>
      </c>
      <c r="S90" s="57">
        <f t="shared" si="115"/>
        <v>7.499999999999998E-3</v>
      </c>
      <c r="T90" s="57">
        <f t="shared" si="115"/>
        <v>7.7999999999999996E-3</v>
      </c>
      <c r="U90" s="57">
        <f t="shared" si="115"/>
        <v>8.0999999999999978E-3</v>
      </c>
      <c r="V90" s="57">
        <f t="shared" si="115"/>
        <v>8.3999999999999995E-3</v>
      </c>
      <c r="W90" s="57">
        <f t="shared" si="115"/>
        <v>8.6999999999999977E-3</v>
      </c>
      <c r="X90" s="57">
        <f t="shared" si="115"/>
        <v>8.9999999999999993E-3</v>
      </c>
      <c r="Y90" s="57">
        <f t="shared" si="115"/>
        <v>9.2999999999999975E-3</v>
      </c>
      <c r="Z90" s="57">
        <f t="shared" si="115"/>
        <v>9.5999999999999992E-3</v>
      </c>
      <c r="AA90" s="57">
        <f t="shared" si="115"/>
        <v>9.0999999999999987E-3</v>
      </c>
      <c r="AB90" s="57">
        <f t="shared" si="115"/>
        <v>8.5999999999999983E-3</v>
      </c>
      <c r="AC90" s="57">
        <f t="shared" si="115"/>
        <v>7.9999999999999984E-3</v>
      </c>
      <c r="AD90" s="57">
        <f t="shared" si="115"/>
        <v>7.3999999999999986E-3</v>
      </c>
      <c r="AE90" s="57">
        <f t="shared" si="115"/>
        <v>6.7999999999999988E-3</v>
      </c>
      <c r="AF90" s="57">
        <f t="shared" si="115"/>
        <v>6.1999999999999989E-3</v>
      </c>
      <c r="AG90" s="57">
        <f t="shared" si="115"/>
        <v>5.5999999999999991E-3</v>
      </c>
      <c r="AH90" s="57">
        <f t="shared" si="115"/>
        <v>4.9999999999999992E-3</v>
      </c>
      <c r="AI90" s="57">
        <f t="shared" si="115"/>
        <v>4.3999999999999994E-3</v>
      </c>
      <c r="AJ90" s="57">
        <f t="shared" si="115"/>
        <v>3.7999999999999996E-3</v>
      </c>
      <c r="AK90" s="57">
        <f t="shared" si="115"/>
        <v>3.1999999999999997E-3</v>
      </c>
      <c r="AL90" s="57">
        <f t="shared" si="115"/>
        <v>2.0999999999999925E-3</v>
      </c>
      <c r="AM90" s="57">
        <f t="shared" si="115"/>
        <v>2E-3</v>
      </c>
      <c r="AN90" s="57">
        <f t="shared" si="115"/>
        <v>2E-3</v>
      </c>
      <c r="AO90" s="57">
        <f t="shared" si="115"/>
        <v>2E-3</v>
      </c>
    </row>
    <row r="91" spans="1:44"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</row>
    <row r="92" spans="1:44"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</row>
    <row r="94" spans="1:44">
      <c r="C94" s="85">
        <f>C4-2%</f>
        <v>0.13</v>
      </c>
      <c r="D94" s="85">
        <f t="shared" ref="D94:AP97" si="116">D4-2%</f>
        <v>0.13375000000000001</v>
      </c>
      <c r="E94" s="85">
        <f t="shared" si="116"/>
        <v>0.13750000000000001</v>
      </c>
      <c r="F94" s="85">
        <f t="shared" si="116"/>
        <v>0.14125000000000001</v>
      </c>
      <c r="G94" s="85">
        <f t="shared" si="116"/>
        <v>0.14991943428088944</v>
      </c>
      <c r="H94" s="85">
        <f t="shared" si="116"/>
        <v>0.15470364754989577</v>
      </c>
      <c r="I94" s="85">
        <f t="shared" si="116"/>
        <v>0.15765036588798206</v>
      </c>
      <c r="J94" s="85">
        <f t="shared" si="116"/>
        <v>0.16151583169152842</v>
      </c>
      <c r="K94" s="85">
        <f t="shared" si="116"/>
        <v>0.16250000000000001</v>
      </c>
      <c r="L94" s="85">
        <f t="shared" si="116"/>
        <v>0.1646</v>
      </c>
      <c r="M94" s="85">
        <f t="shared" si="116"/>
        <v>0.16787324150645958</v>
      </c>
      <c r="N94" s="85">
        <f t="shared" si="116"/>
        <v>0.16787324150645958</v>
      </c>
      <c r="O94" s="85">
        <f t="shared" si="116"/>
        <v>0.16787324150645958</v>
      </c>
      <c r="P94" s="85">
        <f t="shared" si="116"/>
        <v>0.16787324150645958</v>
      </c>
      <c r="Q94" s="85">
        <f t="shared" si="116"/>
        <v>0.16787324150645958</v>
      </c>
      <c r="R94" s="85">
        <f t="shared" si="116"/>
        <v>0.16770000000000002</v>
      </c>
      <c r="S94" s="85">
        <f t="shared" si="116"/>
        <v>0.1678</v>
      </c>
      <c r="T94" s="85">
        <f t="shared" si="116"/>
        <v>0.16787324150645958</v>
      </c>
      <c r="U94" s="85">
        <f t="shared" si="116"/>
        <v>0.16787324150645958</v>
      </c>
      <c r="V94" s="85">
        <f t="shared" si="116"/>
        <v>0.16787324150645958</v>
      </c>
      <c r="W94" s="85">
        <f t="shared" si="116"/>
        <v>0.1681</v>
      </c>
      <c r="X94" s="85">
        <f t="shared" si="116"/>
        <v>0.1681</v>
      </c>
      <c r="Y94" s="85">
        <f t="shared" si="116"/>
        <v>0.1681</v>
      </c>
      <c r="Z94" s="85">
        <f t="shared" si="116"/>
        <v>0.1681</v>
      </c>
      <c r="AA94" s="85">
        <f t="shared" si="116"/>
        <v>0.1681</v>
      </c>
      <c r="AB94" s="85">
        <f t="shared" si="116"/>
        <v>0.1681</v>
      </c>
      <c r="AC94" s="85">
        <f t="shared" si="116"/>
        <v>0.1686</v>
      </c>
      <c r="AD94" s="85">
        <f t="shared" si="116"/>
        <v>0.16787324150645958</v>
      </c>
      <c r="AE94" s="85">
        <f t="shared" si="116"/>
        <v>0.16787324150645958</v>
      </c>
      <c r="AF94" s="85">
        <f t="shared" si="116"/>
        <v>0.16787324150645958</v>
      </c>
      <c r="AG94" s="85">
        <f t="shared" si="116"/>
        <v>0.1681</v>
      </c>
      <c r="AH94" s="85">
        <f t="shared" si="116"/>
        <v>0.1681</v>
      </c>
      <c r="AI94" s="85">
        <f t="shared" si="116"/>
        <v>0.16739999999999999</v>
      </c>
      <c r="AJ94" s="85">
        <f t="shared" si="116"/>
        <v>0.16739999999999999</v>
      </c>
      <c r="AK94" s="85">
        <f t="shared" si="116"/>
        <v>0.16739999999999999</v>
      </c>
      <c r="AL94" s="85">
        <f t="shared" si="116"/>
        <v>0.16739999999999999</v>
      </c>
      <c r="AM94" s="85">
        <f t="shared" si="116"/>
        <v>0.16650000000000001</v>
      </c>
      <c r="AN94" s="85">
        <f t="shared" si="116"/>
        <v>0.16650000000000001</v>
      </c>
      <c r="AO94" s="85">
        <f t="shared" si="116"/>
        <v>0.16650000000000001</v>
      </c>
      <c r="AP94" s="85">
        <f t="shared" si="116"/>
        <v>0.16650000000000001</v>
      </c>
      <c r="AQ94" s="85">
        <f t="shared" ref="AQ94:AR97" si="117">AQ4-1%</f>
        <v>-0.01</v>
      </c>
      <c r="AR94" s="85">
        <f t="shared" si="117"/>
        <v>-0.01</v>
      </c>
    </row>
    <row r="95" spans="1:44">
      <c r="C95" s="85">
        <f t="shared" ref="C95:R97" si="118">C5-2%</f>
        <v>0.18000000000000002</v>
      </c>
      <c r="D95" s="85">
        <f t="shared" si="118"/>
        <v>0.18500000000000005</v>
      </c>
      <c r="E95" s="85">
        <f t="shared" si="118"/>
        <v>0.19000000000000006</v>
      </c>
      <c r="F95" s="85">
        <f t="shared" si="118"/>
        <v>0.19500000000000003</v>
      </c>
      <c r="G95" s="85">
        <f t="shared" si="118"/>
        <v>0.20655924570785258</v>
      </c>
      <c r="H95" s="85">
        <f t="shared" si="118"/>
        <v>0.21293819673319439</v>
      </c>
      <c r="I95" s="85">
        <f t="shared" si="118"/>
        <v>0.21686715451730942</v>
      </c>
      <c r="J95" s="85">
        <f t="shared" si="118"/>
        <v>0.22202110892203789</v>
      </c>
      <c r="K95" s="85">
        <f t="shared" si="118"/>
        <v>0.22412110892203788</v>
      </c>
      <c r="L95" s="85">
        <f t="shared" si="118"/>
        <v>0.22622110892203787</v>
      </c>
      <c r="M95" s="85">
        <f t="shared" si="118"/>
        <v>0.22832110892203786</v>
      </c>
      <c r="N95" s="85">
        <f t="shared" si="118"/>
        <v>0.23042110892203785</v>
      </c>
      <c r="O95" s="85">
        <f t="shared" si="118"/>
        <v>0.23042110892203785</v>
      </c>
      <c r="P95" s="85">
        <f t="shared" si="118"/>
        <v>0.23042110892203785</v>
      </c>
      <c r="Q95" s="85">
        <f t="shared" si="118"/>
        <v>0.23042110892203785</v>
      </c>
      <c r="R95" s="85">
        <f t="shared" si="118"/>
        <v>0.23042110892203785</v>
      </c>
      <c r="S95" s="85">
        <f t="shared" si="116"/>
        <v>0.23042110892203785</v>
      </c>
      <c r="T95" s="85">
        <f t="shared" si="116"/>
        <v>0.23042110892203785</v>
      </c>
      <c r="U95" s="85">
        <f t="shared" si="116"/>
        <v>0.23202110892203784</v>
      </c>
      <c r="V95" s="85">
        <f t="shared" si="116"/>
        <v>0.23202110892203784</v>
      </c>
      <c r="W95" s="85">
        <f t="shared" si="116"/>
        <v>0.23202110892203784</v>
      </c>
      <c r="X95" s="85">
        <f t="shared" si="116"/>
        <v>0.23362110892203783</v>
      </c>
      <c r="Y95" s="85">
        <f t="shared" si="116"/>
        <v>0.23362110892203783</v>
      </c>
      <c r="Z95" s="85">
        <f t="shared" si="116"/>
        <v>0.23362110892203783</v>
      </c>
      <c r="AA95" s="85">
        <f t="shared" si="116"/>
        <v>0.23362110892203783</v>
      </c>
      <c r="AB95" s="85">
        <f t="shared" si="116"/>
        <v>0.23362110892203783</v>
      </c>
      <c r="AC95" s="85">
        <f t="shared" si="116"/>
        <v>0.22621970676874395</v>
      </c>
      <c r="AD95" s="85">
        <f t="shared" si="116"/>
        <v>0.22621970676874395</v>
      </c>
      <c r="AE95" s="85">
        <f t="shared" si="116"/>
        <v>0.22621970676874395</v>
      </c>
      <c r="AF95" s="85">
        <f t="shared" si="116"/>
        <v>0.22621970676874395</v>
      </c>
      <c r="AG95" s="85">
        <f t="shared" si="116"/>
        <v>0.23422110892203782</v>
      </c>
      <c r="AH95" s="85">
        <f t="shared" si="116"/>
        <v>0.23532110892203781</v>
      </c>
      <c r="AI95" s="85">
        <f t="shared" si="116"/>
        <v>0.23352110892203784</v>
      </c>
      <c r="AJ95" s="85">
        <f t="shared" si="116"/>
        <v>0.23352110892203784</v>
      </c>
      <c r="AK95" s="85">
        <f t="shared" si="116"/>
        <v>0.23352110892203784</v>
      </c>
      <c r="AL95" s="85">
        <f t="shared" si="116"/>
        <v>0.23462110892203783</v>
      </c>
      <c r="AM95" s="85">
        <f t="shared" si="116"/>
        <v>0.23262110892203783</v>
      </c>
      <c r="AN95" s="85">
        <f t="shared" si="116"/>
        <v>0.23262110892203783</v>
      </c>
      <c r="AO95" s="85">
        <f t="shared" si="116"/>
        <v>0.23262110892203783</v>
      </c>
      <c r="AP95" s="85">
        <f t="shared" si="116"/>
        <v>0.23372110892203782</v>
      </c>
      <c r="AQ95" s="85">
        <f t="shared" si="117"/>
        <v>-0.01</v>
      </c>
      <c r="AR95" s="85">
        <f t="shared" si="117"/>
        <v>-0.01</v>
      </c>
    </row>
    <row r="96" spans="1:44">
      <c r="C96" s="85">
        <f t="shared" si="118"/>
        <v>0.18000000000000002</v>
      </c>
      <c r="D96" s="85">
        <f t="shared" si="116"/>
        <v>0.18500000000000003</v>
      </c>
      <c r="E96" s="85">
        <f t="shared" si="116"/>
        <v>0.19000000000000006</v>
      </c>
      <c r="F96" s="85">
        <f t="shared" si="116"/>
        <v>0.19500000000000003</v>
      </c>
      <c r="G96" s="85">
        <f t="shared" si="116"/>
        <v>0.20655924570785258</v>
      </c>
      <c r="H96" s="85">
        <f t="shared" si="116"/>
        <v>0.21293819673319439</v>
      </c>
      <c r="I96" s="85">
        <f t="shared" si="116"/>
        <v>0.2168671545173094</v>
      </c>
      <c r="J96" s="85">
        <f t="shared" si="116"/>
        <v>0.22202110892203789</v>
      </c>
      <c r="K96" s="85">
        <f t="shared" si="116"/>
        <v>0.23456549498808174</v>
      </c>
      <c r="L96" s="85">
        <f t="shared" si="116"/>
        <v>0.23987814418928569</v>
      </c>
      <c r="M96" s="85">
        <f t="shared" si="116"/>
        <v>0.24519079339048946</v>
      </c>
      <c r="N96" s="85">
        <f t="shared" si="116"/>
        <v>0.25050344259169333</v>
      </c>
      <c r="O96" s="85">
        <f t="shared" si="116"/>
        <v>0.2640827039068176</v>
      </c>
      <c r="P96" s="85">
        <f t="shared" si="116"/>
        <v>0.26955893425708194</v>
      </c>
      <c r="Q96" s="85">
        <f t="shared" si="116"/>
        <v>0.27503516460734617</v>
      </c>
      <c r="R96" s="85">
        <f t="shared" si="116"/>
        <v>0.2805113949576104</v>
      </c>
      <c r="S96" s="85">
        <f t="shared" si="116"/>
        <v>0.295177395890803</v>
      </c>
      <c r="T96" s="85">
        <f t="shared" si="116"/>
        <v>0.30082224419781328</v>
      </c>
      <c r="U96" s="85">
        <f t="shared" si="116"/>
        <v>0.30646709250482379</v>
      </c>
      <c r="V96" s="85">
        <f t="shared" si="116"/>
        <v>0.31211194081183408</v>
      </c>
      <c r="W96" s="85">
        <f t="shared" si="116"/>
        <v>0.31211194081183408</v>
      </c>
      <c r="X96" s="85">
        <f t="shared" si="116"/>
        <v>0.31211194081183408</v>
      </c>
      <c r="Y96" s="85">
        <f t="shared" si="116"/>
        <v>0.31211194081183408</v>
      </c>
      <c r="Z96" s="85">
        <f t="shared" si="116"/>
        <v>0.31211194081183408</v>
      </c>
      <c r="AA96" s="85">
        <f t="shared" si="116"/>
        <v>0.31211194081183408</v>
      </c>
      <c r="AB96" s="85">
        <f t="shared" si="116"/>
        <v>0.31211194081183408</v>
      </c>
      <c r="AC96" s="85">
        <f t="shared" si="116"/>
        <v>0.31211194081183408</v>
      </c>
      <c r="AD96" s="85">
        <f t="shared" si="116"/>
        <v>0.31211194081183408</v>
      </c>
      <c r="AE96" s="85">
        <f t="shared" si="116"/>
        <v>0.31211194081183408</v>
      </c>
      <c r="AF96" s="85">
        <f t="shared" si="116"/>
        <v>0.31211194081183408</v>
      </c>
      <c r="AG96" s="85">
        <f t="shared" si="116"/>
        <v>0.31161194081183408</v>
      </c>
      <c r="AH96" s="85">
        <f t="shared" si="116"/>
        <v>0.31161194081183408</v>
      </c>
      <c r="AI96" s="85">
        <f t="shared" si="116"/>
        <v>0.3109119408118341</v>
      </c>
      <c r="AJ96" s="85">
        <f t="shared" si="116"/>
        <v>0.3109119408118341</v>
      </c>
      <c r="AK96" s="85">
        <f t="shared" si="116"/>
        <v>0.3109119408118341</v>
      </c>
      <c r="AL96" s="85">
        <f t="shared" si="116"/>
        <v>0.3109119408118341</v>
      </c>
      <c r="AM96" s="85">
        <f t="shared" si="116"/>
        <v>0.31001194081183409</v>
      </c>
      <c r="AN96" s="85">
        <f t="shared" si="116"/>
        <v>0.31001194081183409</v>
      </c>
      <c r="AO96" s="85">
        <f t="shared" si="116"/>
        <v>0.31001194081183409</v>
      </c>
      <c r="AP96" s="85">
        <f t="shared" si="116"/>
        <v>0.31001194081183409</v>
      </c>
      <c r="AQ96" s="85">
        <f t="shared" si="117"/>
        <v>-0.01</v>
      </c>
      <c r="AR96" s="85">
        <f t="shared" si="117"/>
        <v>-0.01</v>
      </c>
    </row>
    <row r="97" spans="3:47">
      <c r="C97" s="85">
        <f t="shared" si="118"/>
        <v>0.13</v>
      </c>
      <c r="D97" s="85">
        <f t="shared" si="116"/>
        <v>0.13250000000000001</v>
      </c>
      <c r="E97" s="85">
        <f t="shared" si="116"/>
        <v>0.1351</v>
      </c>
      <c r="F97" s="85">
        <f t="shared" si="116"/>
        <v>0.13730000000000001</v>
      </c>
      <c r="G97" s="85">
        <f t="shared" si="116"/>
        <v>0.14120000000000002</v>
      </c>
      <c r="H97" s="85">
        <f t="shared" si="116"/>
        <v>0.14270000000000002</v>
      </c>
      <c r="I97" s="85">
        <f t="shared" si="116"/>
        <v>0.14270000000000002</v>
      </c>
      <c r="J97" s="85">
        <f t="shared" si="116"/>
        <v>0.14360000000000001</v>
      </c>
      <c r="K97" s="85">
        <f t="shared" si="116"/>
        <v>0.14550000000000002</v>
      </c>
      <c r="L97" s="85">
        <f t="shared" si="116"/>
        <v>0.14710000000000001</v>
      </c>
      <c r="M97" s="85">
        <f t="shared" si="116"/>
        <v>0.1477</v>
      </c>
      <c r="N97" s="85">
        <f t="shared" si="116"/>
        <v>0.1489</v>
      </c>
      <c r="O97" s="85">
        <f t="shared" si="116"/>
        <v>0.15100000000000002</v>
      </c>
      <c r="P97" s="85">
        <f t="shared" si="116"/>
        <v>0.15360000000000001</v>
      </c>
      <c r="Q97" s="85">
        <f t="shared" si="116"/>
        <v>0.15670000000000001</v>
      </c>
      <c r="R97" s="85">
        <f t="shared" si="116"/>
        <v>0.161</v>
      </c>
      <c r="S97" s="85">
        <f t="shared" si="116"/>
        <v>0.1633</v>
      </c>
      <c r="T97" s="85">
        <f t="shared" si="116"/>
        <v>0.16830000000000001</v>
      </c>
      <c r="U97" s="85">
        <f t="shared" si="116"/>
        <v>0.17330000000000001</v>
      </c>
      <c r="V97" s="85">
        <f t="shared" si="116"/>
        <v>0.17830000000000001</v>
      </c>
      <c r="W97" s="85">
        <f t="shared" si="116"/>
        <v>0.18330000000000002</v>
      </c>
      <c r="X97" s="85">
        <f t="shared" si="116"/>
        <v>0.18830000000000002</v>
      </c>
      <c r="Y97" s="85">
        <f t="shared" si="116"/>
        <v>0.19330000000000003</v>
      </c>
      <c r="Z97" s="85">
        <f t="shared" si="116"/>
        <v>0.19830000000000003</v>
      </c>
      <c r="AA97" s="85">
        <f t="shared" si="116"/>
        <v>0.20330000000000004</v>
      </c>
      <c r="AB97" s="85">
        <f t="shared" si="116"/>
        <v>0.20330000000000004</v>
      </c>
      <c r="AC97" s="85">
        <f t="shared" si="116"/>
        <v>0.20330000000000004</v>
      </c>
      <c r="AD97" s="85">
        <f t="shared" si="116"/>
        <v>0.20330000000000004</v>
      </c>
      <c r="AE97" s="85">
        <f t="shared" si="116"/>
        <v>0.20330000000000004</v>
      </c>
      <c r="AF97" s="85">
        <f t="shared" si="116"/>
        <v>0.20330000000000004</v>
      </c>
      <c r="AG97" s="85">
        <f t="shared" si="116"/>
        <v>0.20330000000000004</v>
      </c>
      <c r="AH97" s="85">
        <f t="shared" si="116"/>
        <v>0.20330000000000004</v>
      </c>
      <c r="AI97" s="85">
        <f t="shared" si="116"/>
        <v>0.20330000000000004</v>
      </c>
      <c r="AJ97" s="85">
        <f t="shared" si="116"/>
        <v>0.20210000000000003</v>
      </c>
      <c r="AK97" s="85">
        <f t="shared" si="116"/>
        <v>0.20210000000000003</v>
      </c>
      <c r="AL97" s="85">
        <f t="shared" si="116"/>
        <v>0.20210000000000003</v>
      </c>
      <c r="AM97" s="85">
        <f t="shared" si="116"/>
        <v>0.20120000000000005</v>
      </c>
      <c r="AN97" s="85">
        <f t="shared" si="116"/>
        <v>0.20120000000000005</v>
      </c>
      <c r="AO97" s="85">
        <f t="shared" si="116"/>
        <v>0.20120000000000005</v>
      </c>
      <c r="AP97" s="85">
        <f t="shared" si="116"/>
        <v>0.20120000000000005</v>
      </c>
      <c r="AQ97" s="85">
        <f t="shared" si="117"/>
        <v>-0.01</v>
      </c>
      <c r="AR97" s="85">
        <f t="shared" si="117"/>
        <v>-0.01</v>
      </c>
    </row>
    <row r="104" spans="3:47"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7"/>
      <c r="AT104" s="57"/>
      <c r="AU104" s="57"/>
    </row>
    <row r="105" spans="3:47"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</row>
    <row r="106" spans="3:47"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</row>
    <row r="107" spans="3:47"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</row>
    <row r="108" spans="3:47"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</row>
    <row r="109" spans="3:47"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</row>
    <row r="110" spans="3:47"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7"/>
      <c r="AT110" s="57"/>
      <c r="AU110" s="57"/>
    </row>
    <row r="111" spans="3:47"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</row>
    <row r="112" spans="3:47"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</row>
    <row r="113" spans="3:47"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</row>
    <row r="114" spans="3:47"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</row>
    <row r="115" spans="3:47"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7"/>
      <c r="AT115" s="57"/>
      <c r="AU115" s="57"/>
    </row>
    <row r="116" spans="3:47"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</row>
    <row r="117" spans="3:47">
      <c r="C117" s="57"/>
      <c r="D117" s="57"/>
      <c r="E117" s="57">
        <v>0.45</v>
      </c>
      <c r="F117" s="57">
        <f>E117-K117</f>
        <v>-4.0832666556869068E-2</v>
      </c>
      <c r="G117" s="57"/>
      <c r="H117" s="57"/>
      <c r="I117" s="57"/>
      <c r="J117" s="57"/>
      <c r="K117" s="89">
        <v>0.49083266655686908</v>
      </c>
      <c r="L117" s="89">
        <v>0.49797205079769569</v>
      </c>
      <c r="M117" s="89">
        <v>0.50511143503852296</v>
      </c>
      <c r="N117" s="89">
        <v>0.51225081927935012</v>
      </c>
      <c r="O117" s="89">
        <v>0.52187532411118309</v>
      </c>
      <c r="P117" s="89">
        <v>0.52904886808522</v>
      </c>
      <c r="Q117" s="89">
        <v>0.53622241205925691</v>
      </c>
      <c r="R117" s="89">
        <v>0.54339595603329383</v>
      </c>
      <c r="S117" s="89">
        <v>0.5532038038351168</v>
      </c>
      <c r="T117" s="89">
        <v>0.56041167098606293</v>
      </c>
      <c r="U117" s="89">
        <v>0.56761953813700916</v>
      </c>
      <c r="V117" s="89">
        <v>0.5748274052879554</v>
      </c>
      <c r="W117" s="89">
        <v>0.5511742201899823</v>
      </c>
      <c r="X117" s="89">
        <v>0.55227656863036223</v>
      </c>
      <c r="Y117" s="89">
        <v>0.553381121767623</v>
      </c>
      <c r="Z117" s="89">
        <v>0.55448788401115823</v>
      </c>
      <c r="AA117" s="89">
        <v>0.53273285698296891</v>
      </c>
      <c r="AB117" s="89">
        <v>0.53486378841090088</v>
      </c>
      <c r="AC117" s="89">
        <v>0.53700324356454443</v>
      </c>
      <c r="AD117" s="89">
        <v>0.53915125653880258</v>
      </c>
      <c r="AE117" s="89">
        <v>0.51902982208424475</v>
      </c>
      <c r="AF117" s="89">
        <v>0.52214400101675018</v>
      </c>
      <c r="AG117" s="89">
        <v>0.52527686502285076</v>
      </c>
      <c r="AH117" s="89">
        <v>0.52842852621298786</v>
      </c>
      <c r="AI117" s="89">
        <v>0.50941521273393686</v>
      </c>
      <c r="AJ117" s="89">
        <v>0.51318488530816797</v>
      </c>
      <c r="AK117" s="89">
        <v>0.51698245345944827</v>
      </c>
      <c r="AL117" s="89">
        <v>0.52080812361504825</v>
      </c>
      <c r="AM117" s="89">
        <v>0.50241786547017231</v>
      </c>
      <c r="AN117" s="89">
        <v>0.50648745018048069</v>
      </c>
      <c r="AO117" s="89">
        <v>0.5090705361764013</v>
      </c>
      <c r="AP117" s="89">
        <v>0.51166679591090103</v>
      </c>
      <c r="AQ117" s="57"/>
      <c r="AR117" s="57"/>
      <c r="AS117" s="57"/>
      <c r="AT117" s="57"/>
      <c r="AU117" s="57"/>
    </row>
    <row r="118" spans="3:47">
      <c r="C118" s="57"/>
      <c r="D118" s="57"/>
      <c r="E118" s="57">
        <v>0.55000000000000004</v>
      </c>
      <c r="F118" s="57">
        <f t="shared" ref="F118:F120" si="119">E118-K118</f>
        <v>-2.5200928521936672E-2</v>
      </c>
      <c r="G118" s="57"/>
      <c r="H118" s="57"/>
      <c r="I118" s="57"/>
      <c r="J118" s="57"/>
      <c r="K118" s="89">
        <v>0.57520092852193672</v>
      </c>
      <c r="L118" s="89">
        <v>0.58177465341933032</v>
      </c>
      <c r="M118" s="89">
        <v>0.58834837831672382</v>
      </c>
      <c r="N118" s="89">
        <v>0.59492210321411765</v>
      </c>
      <c r="O118" s="89">
        <v>0.60437379858094431</v>
      </c>
      <c r="P118" s="89">
        <v>0.61097897670751189</v>
      </c>
      <c r="Q118" s="89">
        <v>0.61758415483407969</v>
      </c>
      <c r="R118" s="89">
        <v>0.62418933296064727</v>
      </c>
      <c r="S118" s="89">
        <v>0.63381266664265634</v>
      </c>
      <c r="T118" s="89">
        <v>0.64044944849231777</v>
      </c>
      <c r="U118" s="89">
        <v>0.64708623034197899</v>
      </c>
      <c r="V118" s="89">
        <v>0.65372301219164031</v>
      </c>
      <c r="W118" s="89">
        <v>0.62682340499141032</v>
      </c>
      <c r="X118" s="89">
        <v>0.62807705180139317</v>
      </c>
      <c r="Y118" s="89">
        <v>0.62933320590499586</v>
      </c>
      <c r="Z118" s="89">
        <v>0.63059187231680591</v>
      </c>
      <c r="AA118" s="89">
        <v>0.60585094718284493</v>
      </c>
      <c r="AB118" s="89">
        <v>0.60827435097157645</v>
      </c>
      <c r="AC118" s="89">
        <v>0.61070744837546276</v>
      </c>
      <c r="AD118" s="89">
        <v>0.61315027816896461</v>
      </c>
      <c r="AE118" s="89">
        <v>0.59026715773969229</v>
      </c>
      <c r="AF118" s="89">
        <v>0.59380876068613042</v>
      </c>
      <c r="AG118" s="89">
        <v>0.59737161325024735</v>
      </c>
      <c r="AH118" s="89">
        <v>0.6009558429297488</v>
      </c>
      <c r="AI118" s="89">
        <v>0.57933293413151088</v>
      </c>
      <c r="AJ118" s="89">
        <v>0.58361999784408392</v>
      </c>
      <c r="AK118" s="89">
        <v>0.58793878582813008</v>
      </c>
      <c r="AL118" s="89">
        <v>0.59228953284325814</v>
      </c>
      <c r="AM118" s="89">
        <v>0.57137519431510875</v>
      </c>
      <c r="AN118" s="89">
        <v>0.57600333338906107</v>
      </c>
      <c r="AO118" s="89">
        <v>0.57894095038934534</v>
      </c>
      <c r="AP118" s="89">
        <v>0.58189354923633108</v>
      </c>
      <c r="AQ118" s="57"/>
      <c r="AR118" s="57"/>
      <c r="AS118" s="57"/>
      <c r="AT118" s="57"/>
      <c r="AU118" s="57"/>
    </row>
    <row r="119" spans="3:47">
      <c r="C119" s="57"/>
      <c r="D119" s="57"/>
      <c r="E119" s="57">
        <v>0.55000000000000004</v>
      </c>
      <c r="F119" s="57">
        <f t="shared" si="119"/>
        <v>-2.3479583540361726E-2</v>
      </c>
      <c r="G119" s="57"/>
      <c r="H119" s="57"/>
      <c r="I119" s="57"/>
      <c r="J119" s="57"/>
      <c r="K119" s="89">
        <v>0.57347958354036177</v>
      </c>
      <c r="L119" s="89">
        <v>0.58003363592368007</v>
      </c>
      <c r="M119" s="89">
        <v>0.58658768830699848</v>
      </c>
      <c r="N119" s="89">
        <v>0.59314174069031689</v>
      </c>
      <c r="O119" s="89">
        <v>0.60256515093523189</v>
      </c>
      <c r="P119" s="89">
        <v>0.60915056242086274</v>
      </c>
      <c r="Q119" s="89">
        <v>0.61573597390649371</v>
      </c>
      <c r="R119" s="89">
        <v>0.62232138539212478</v>
      </c>
      <c r="S119" s="89">
        <v>0.63191592030779276</v>
      </c>
      <c r="T119" s="89">
        <v>0.63853284093928808</v>
      </c>
      <c r="U119" s="89">
        <v>0.6451497615707833</v>
      </c>
      <c r="V119" s="89">
        <v>0.65176668220227851</v>
      </c>
      <c r="W119" s="89">
        <v>0.62494757470495987</v>
      </c>
      <c r="X119" s="89">
        <v>0.62619746985436975</v>
      </c>
      <c r="Y119" s="89">
        <v>0.62744986479407849</v>
      </c>
      <c r="Z119" s="89">
        <v>0.62870476452366664</v>
      </c>
      <c r="AA119" s="89">
        <v>0.6040378790256089</v>
      </c>
      <c r="AB119" s="89">
        <v>0.60645403054171132</v>
      </c>
      <c r="AC119" s="89">
        <v>0.60887984666387807</v>
      </c>
      <c r="AD119" s="89">
        <v>0.6113153660505336</v>
      </c>
      <c r="AE119" s="89">
        <v>0.58850072559505939</v>
      </c>
      <c r="AF119" s="89">
        <v>0.59203172994862974</v>
      </c>
      <c r="AG119" s="89">
        <v>0.59558392032832153</v>
      </c>
      <c r="AH119" s="89">
        <v>0.59915742385029147</v>
      </c>
      <c r="AI119" s="89">
        <v>0.57759922371941008</v>
      </c>
      <c r="AJ119" s="89">
        <v>0.58187345797493362</v>
      </c>
      <c r="AK119" s="89">
        <v>0.58617932156394803</v>
      </c>
      <c r="AL119" s="89">
        <v>0.59051704854352127</v>
      </c>
      <c r="AM119" s="89">
        <v>0.56966529821696055</v>
      </c>
      <c r="AN119" s="89">
        <v>0.57427958713251792</v>
      </c>
      <c r="AO119" s="89">
        <v>0.57720841302689385</v>
      </c>
      <c r="AP119" s="89">
        <v>0.58015217593333102</v>
      </c>
      <c r="AQ119" s="57"/>
      <c r="AR119" s="57"/>
      <c r="AS119" s="57"/>
      <c r="AT119" s="57"/>
      <c r="AU119" s="57"/>
    </row>
    <row r="120" spans="3:47">
      <c r="C120" s="57"/>
      <c r="D120" s="57"/>
      <c r="E120" s="57">
        <v>0.45</v>
      </c>
      <c r="F120" s="57">
        <f t="shared" si="119"/>
        <v>2.9901083995329536E-2</v>
      </c>
      <c r="G120" s="57"/>
      <c r="H120" s="57"/>
      <c r="I120" s="57"/>
      <c r="J120" s="57"/>
      <c r="K120" s="89">
        <v>0.42009891600467048</v>
      </c>
      <c r="L120" s="89">
        <v>0.42756734117808659</v>
      </c>
      <c r="M120" s="89">
        <v>0.43503576635150293</v>
      </c>
      <c r="N120" s="89">
        <v>0.44250419152491927</v>
      </c>
      <c r="O120" s="89">
        <v>0.45212559572560057</v>
      </c>
      <c r="P120" s="89">
        <v>0.45962975499075581</v>
      </c>
      <c r="Q120" s="89">
        <v>0.46713391425591094</v>
      </c>
      <c r="R120" s="89">
        <v>0.47463807352106613</v>
      </c>
      <c r="S120" s="89">
        <v>0.48444913342156209</v>
      </c>
      <c r="T120" s="89">
        <v>0.49198919775497157</v>
      </c>
      <c r="U120" s="89">
        <v>0.49952926208838117</v>
      </c>
      <c r="V120" s="89">
        <v>0.5070693264217907</v>
      </c>
      <c r="W120" s="89">
        <v>0.4862042727986931</v>
      </c>
      <c r="X120" s="89">
        <v>0.48717668134429049</v>
      </c>
      <c r="Y120" s="89">
        <v>0.48815103470697907</v>
      </c>
      <c r="Z120" s="89">
        <v>0.48912733677639303</v>
      </c>
      <c r="AA120" s="89">
        <v>0.46993669485502243</v>
      </c>
      <c r="AB120" s="89">
        <v>0.47181644163444253</v>
      </c>
      <c r="AC120" s="89">
        <v>0.47370370740098033</v>
      </c>
      <c r="AD120" s="89">
        <v>0.47559852223058424</v>
      </c>
      <c r="AE120" s="89">
        <v>0.45784891231001718</v>
      </c>
      <c r="AF120" s="89">
        <v>0.46059600578387722</v>
      </c>
      <c r="AG120" s="89">
        <v>0.4633595818185805</v>
      </c>
      <c r="AH120" s="89">
        <v>0.46613973930949198</v>
      </c>
      <c r="AI120" s="89">
        <v>0.44936763002907387</v>
      </c>
      <c r="AJ120" s="89">
        <v>0.45269295049128894</v>
      </c>
      <c r="AK120" s="89">
        <v>0.45604287832492446</v>
      </c>
      <c r="AL120" s="89">
        <v>0.45941759562452877</v>
      </c>
      <c r="AM120" s="89">
        <v>0.44319509870726076</v>
      </c>
      <c r="AN120" s="89">
        <v>0.44678497900678976</v>
      </c>
      <c r="AO120" s="89">
        <v>0.44906358239972444</v>
      </c>
      <c r="AP120" s="89">
        <v>0.45135380666996305</v>
      </c>
      <c r="AQ120" s="57"/>
      <c r="AR120" s="57"/>
      <c r="AS120" s="57"/>
      <c r="AT120" s="57"/>
      <c r="AU120" s="57"/>
    </row>
    <row r="121" spans="3:47">
      <c r="C121" s="57"/>
      <c r="D121" s="57"/>
      <c r="E121" s="57">
        <v>0.6</v>
      </c>
      <c r="F121" s="57">
        <f>E121-O121</f>
        <v>-5.9374856574891943E-2</v>
      </c>
      <c r="G121" s="57"/>
      <c r="H121" s="57"/>
      <c r="I121" s="57"/>
      <c r="J121" s="57"/>
      <c r="K121" s="101">
        <v>0</v>
      </c>
      <c r="L121" s="101">
        <v>0</v>
      </c>
      <c r="M121" s="101">
        <v>0</v>
      </c>
      <c r="N121" s="101">
        <v>0</v>
      </c>
      <c r="O121" s="89">
        <v>0.65937485657489192</v>
      </c>
      <c r="P121" s="89">
        <v>0.66749023942504437</v>
      </c>
      <c r="Q121" s="89">
        <v>0.67560562227519683</v>
      </c>
      <c r="R121" s="89">
        <v>0.68372100512534939</v>
      </c>
      <c r="S121" s="89">
        <v>0.69514660992753785</v>
      </c>
      <c r="T121" s="89">
        <v>0.70330082236070546</v>
      </c>
      <c r="U121" s="89">
        <v>0.71145503479387318</v>
      </c>
      <c r="V121" s="89">
        <v>0.71960924722704078</v>
      </c>
      <c r="W121" s="89">
        <v>0.6899985317909042</v>
      </c>
      <c r="X121" s="89">
        <v>0.69137852885448603</v>
      </c>
      <c r="Y121" s="89">
        <v>0.69276128591219499</v>
      </c>
      <c r="Z121" s="89">
        <v>0.69414680848401955</v>
      </c>
      <c r="AA121" s="89">
        <v>0.6669123403999575</v>
      </c>
      <c r="AB121" s="89">
        <v>0.6695799897615573</v>
      </c>
      <c r="AC121" s="89">
        <v>0.67225830972060352</v>
      </c>
      <c r="AD121" s="89">
        <v>0.67494734295948589</v>
      </c>
      <c r="AE121" s="89">
        <v>0.64975792059066284</v>
      </c>
      <c r="AF121" s="89">
        <v>0.65365646811420697</v>
      </c>
      <c r="AG121" s="89">
        <v>0.65757840692289238</v>
      </c>
      <c r="AH121" s="89">
        <v>0.66152387736442941</v>
      </c>
      <c r="AI121" s="89">
        <v>0.63772167852337447</v>
      </c>
      <c r="AJ121" s="89">
        <v>0.64244081894444738</v>
      </c>
      <c r="AK121" s="89">
        <v>0.64719488100463618</v>
      </c>
      <c r="AL121" s="89">
        <v>0.6519841231240705</v>
      </c>
      <c r="AM121" s="89">
        <v>0.62896190863289525</v>
      </c>
      <c r="AN121" s="89">
        <v>0.63405650009282177</v>
      </c>
      <c r="AO121" s="89">
        <v>0.63729018824329509</v>
      </c>
      <c r="AP121" s="89">
        <v>0.64054036820333615</v>
      </c>
      <c r="AQ121" s="57"/>
      <c r="AR121" s="57"/>
      <c r="AS121" s="57"/>
      <c r="AT121" s="57"/>
      <c r="AU121" s="57"/>
    </row>
    <row r="122" spans="3:47">
      <c r="C122" s="57"/>
      <c r="D122" s="57"/>
      <c r="E122" s="57">
        <v>0.55000000000000004</v>
      </c>
      <c r="F122" s="57">
        <f t="shared" ref="F122:F124" si="120">E122-O122</f>
        <v>-5.8653713761438686E-2</v>
      </c>
      <c r="G122" s="57"/>
      <c r="H122" s="57"/>
      <c r="I122" s="57"/>
      <c r="J122" s="57"/>
      <c r="K122" s="101">
        <v>0</v>
      </c>
      <c r="L122" s="101">
        <v>0</v>
      </c>
      <c r="M122" s="101">
        <v>0</v>
      </c>
      <c r="N122" s="101">
        <v>0</v>
      </c>
      <c r="O122" s="89">
        <v>0.60865371376143873</v>
      </c>
      <c r="P122" s="89">
        <v>0.61676909661159129</v>
      </c>
      <c r="Q122" s="89">
        <v>0.62488447946174375</v>
      </c>
      <c r="R122" s="89">
        <v>0.63299986231189631</v>
      </c>
      <c r="S122" s="89">
        <v>0.6441827822202405</v>
      </c>
      <c r="T122" s="89">
        <v>0.652336994653408</v>
      </c>
      <c r="U122" s="89">
        <v>0.66049120708657572</v>
      </c>
      <c r="V122" s="89">
        <v>0.66864541951974321</v>
      </c>
      <c r="W122" s="89">
        <v>0.64113178024763895</v>
      </c>
      <c r="X122" s="89">
        <v>0.64241404380813416</v>
      </c>
      <c r="Y122" s="89">
        <v>0.6436988718957507</v>
      </c>
      <c r="Z122" s="89">
        <v>0.64498626963954142</v>
      </c>
      <c r="AA122" s="89">
        <v>0.61968058824698602</v>
      </c>
      <c r="AB122" s="89">
        <v>0.62215931059997387</v>
      </c>
      <c r="AC122" s="89">
        <v>0.62464794784237354</v>
      </c>
      <c r="AD122" s="89">
        <v>0.62714653963374323</v>
      </c>
      <c r="AE122" s="89">
        <v>0.60374107069047434</v>
      </c>
      <c r="AF122" s="89">
        <v>0.607363517114617</v>
      </c>
      <c r="AG122" s="89">
        <v>0.61100769821730494</v>
      </c>
      <c r="AH122" s="89">
        <v>0.6146737444066086</v>
      </c>
      <c r="AI122" s="89">
        <v>0.59255725369877221</v>
      </c>
      <c r="AJ122" s="89">
        <v>0.59694217737614375</v>
      </c>
      <c r="AK122" s="89">
        <v>0.60135954948872694</v>
      </c>
      <c r="AL122" s="89">
        <v>0.60580961015494339</v>
      </c>
      <c r="AM122" s="89">
        <v>0.58441786411215157</v>
      </c>
      <c r="AN122" s="89">
        <v>0.58915164881146009</v>
      </c>
      <c r="AO122" s="89">
        <v>0.59215632222039849</v>
      </c>
      <c r="AP122" s="89">
        <v>0.59517631946372263</v>
      </c>
      <c r="AQ122" s="57"/>
      <c r="AR122" s="57"/>
      <c r="AS122" s="57"/>
      <c r="AT122" s="57"/>
      <c r="AU122" s="57"/>
    </row>
    <row r="123" spans="3:47">
      <c r="E123" s="57">
        <v>0.2</v>
      </c>
      <c r="F123" s="57">
        <f t="shared" si="120"/>
        <v>2.187543027532407E-3</v>
      </c>
      <c r="K123" s="101">
        <v>0</v>
      </c>
      <c r="L123" s="101">
        <v>0</v>
      </c>
      <c r="M123" s="101">
        <v>0</v>
      </c>
      <c r="N123" s="101">
        <v>0</v>
      </c>
      <c r="O123" s="89">
        <v>0.1978124569724676</v>
      </c>
      <c r="P123" s="89">
        <v>0.21099995410396544</v>
      </c>
      <c r="Q123" s="89">
        <v>0.22418745123546324</v>
      </c>
      <c r="R123" s="89">
        <v>0.23737494836696116</v>
      </c>
      <c r="S123" s="89">
        <v>0.25176130887404974</v>
      </c>
      <c r="T123" s="89">
        <v>0.26501190407794706</v>
      </c>
      <c r="U123" s="89">
        <v>0.27826249928184443</v>
      </c>
      <c r="V123" s="89">
        <v>0.29151309448574186</v>
      </c>
      <c r="W123" s="89">
        <v>0.27951781882747684</v>
      </c>
      <c r="X123" s="89">
        <v>0.28007685446513181</v>
      </c>
      <c r="Y123" s="89">
        <v>0.28063700817406206</v>
      </c>
      <c r="Z123" s="89">
        <v>0.28119828219041021</v>
      </c>
      <c r="AA123" s="89">
        <v>0.27016562231499702</v>
      </c>
      <c r="AB123" s="89">
        <v>0.27124628480425694</v>
      </c>
      <c r="AC123" s="89">
        <v>0.27233126994347401</v>
      </c>
      <c r="AD123" s="89">
        <v>0.27342059502324811</v>
      </c>
      <c r="AE123" s="89">
        <v>0.26321638142907888</v>
      </c>
      <c r="AF123" s="89">
        <v>0.26479567971765339</v>
      </c>
      <c r="AG123" s="89">
        <v>0.26638445379595926</v>
      </c>
      <c r="AH123" s="89">
        <v>0.26798276051873504</v>
      </c>
      <c r="AI123" s="89">
        <v>0.25834050999672126</v>
      </c>
      <c r="AJ123" s="89">
        <v>0.26025222977069684</v>
      </c>
      <c r="AK123" s="89">
        <v>0.26217809627100008</v>
      </c>
      <c r="AL123" s="89">
        <v>0.26411821418340531</v>
      </c>
      <c r="AM123" s="89">
        <v>0.25479193465865174</v>
      </c>
      <c r="AN123" s="89">
        <v>0.25685574932938676</v>
      </c>
      <c r="AO123" s="89">
        <v>0.25816571365096669</v>
      </c>
      <c r="AP123" s="89">
        <v>0.25948235879058662</v>
      </c>
    </row>
    <row r="124" spans="3:47">
      <c r="E124" s="57">
        <v>0.2</v>
      </c>
      <c r="F124" s="57">
        <f t="shared" si="120"/>
        <v>2.8562537290528073E-2</v>
      </c>
      <c r="K124" s="101">
        <v>0</v>
      </c>
      <c r="L124" s="101">
        <v>0</v>
      </c>
      <c r="M124" s="101">
        <v>0</v>
      </c>
      <c r="N124" s="101">
        <v>0</v>
      </c>
      <c r="O124" s="89">
        <v>0.17143746270947194</v>
      </c>
      <c r="P124" s="89">
        <v>0.18462495984096977</v>
      </c>
      <c r="Q124" s="89">
        <v>0.1978124569724676</v>
      </c>
      <c r="R124" s="89">
        <v>0.21099995410396549</v>
      </c>
      <c r="S124" s="89">
        <v>0.22526011846625504</v>
      </c>
      <c r="T124" s="89">
        <v>0.23851071367015239</v>
      </c>
      <c r="U124" s="89">
        <v>0.25176130887404985</v>
      </c>
      <c r="V124" s="89">
        <v>0.26501190407794717</v>
      </c>
      <c r="W124" s="89">
        <v>0.25410710802497899</v>
      </c>
      <c r="X124" s="89">
        <v>0.25461532224102895</v>
      </c>
      <c r="Y124" s="89">
        <v>0.25512455288551072</v>
      </c>
      <c r="Z124" s="89">
        <v>0.25563480199128197</v>
      </c>
      <c r="AA124" s="89">
        <v>0.24560511119545186</v>
      </c>
      <c r="AB124" s="89">
        <v>0.24658753164023378</v>
      </c>
      <c r="AC124" s="89">
        <v>0.24757388176679451</v>
      </c>
      <c r="AD124" s="89">
        <v>0.24856417729386179</v>
      </c>
      <c r="AE124" s="89">
        <v>0.23928761948098085</v>
      </c>
      <c r="AF124" s="89">
        <v>0.24072334519786673</v>
      </c>
      <c r="AG124" s="89">
        <v>0.24216768526905391</v>
      </c>
      <c r="AH124" s="89">
        <v>0.24362069138066822</v>
      </c>
      <c r="AI124" s="89">
        <v>0.23485500908792831</v>
      </c>
      <c r="AJ124" s="89">
        <v>0.23659293615517898</v>
      </c>
      <c r="AK124" s="89">
        <v>0.23834372388272732</v>
      </c>
      <c r="AL124" s="89">
        <v>0.24010746743945949</v>
      </c>
      <c r="AM124" s="89">
        <v>0.23162903150786521</v>
      </c>
      <c r="AN124" s="89">
        <v>0.23350522666307891</v>
      </c>
      <c r="AO124" s="89">
        <v>0.2346961033190606</v>
      </c>
      <c r="AP124" s="89">
        <v>0.23589305344598788</v>
      </c>
    </row>
    <row r="127" spans="3:47">
      <c r="K127" s="57">
        <f>K117+$F117</f>
        <v>0.45</v>
      </c>
      <c r="L127" s="57">
        <f>K127+L136</f>
        <v>0.45713938424082662</v>
      </c>
      <c r="M127" s="57">
        <f t="shared" ref="L127:AP130" si="121">M117+$F117</f>
        <v>0.46427876848165389</v>
      </c>
      <c r="N127" s="57">
        <f t="shared" si="121"/>
        <v>0.47141815272248105</v>
      </c>
      <c r="O127" s="57">
        <f t="shared" si="121"/>
        <v>0.48104265755431402</v>
      </c>
      <c r="P127" s="57">
        <f t="shared" si="121"/>
        <v>0.48821620152835093</v>
      </c>
      <c r="Q127" s="57">
        <f t="shared" si="121"/>
        <v>0.49538974550238785</v>
      </c>
      <c r="R127" s="57">
        <f t="shared" si="121"/>
        <v>0.5025632894764247</v>
      </c>
      <c r="S127" s="57">
        <f t="shared" si="121"/>
        <v>0.51237113727824779</v>
      </c>
      <c r="T127" s="57">
        <f t="shared" si="121"/>
        <v>0.51957900442919391</v>
      </c>
      <c r="U127" s="57">
        <f t="shared" si="121"/>
        <v>0.52678687158014004</v>
      </c>
      <c r="V127" s="57">
        <f t="shared" si="121"/>
        <v>0.53399473873108638</v>
      </c>
      <c r="W127" s="57">
        <f t="shared" si="121"/>
        <v>0.51034155363311329</v>
      </c>
      <c r="X127" s="57">
        <f t="shared" si="121"/>
        <v>0.51144390207349311</v>
      </c>
      <c r="Y127" s="57">
        <f t="shared" si="121"/>
        <v>0.51254845521075398</v>
      </c>
      <c r="Z127" s="57">
        <f t="shared" si="121"/>
        <v>0.51365521745428921</v>
      </c>
      <c r="AA127" s="57">
        <f t="shared" si="121"/>
        <v>0.49190019042609984</v>
      </c>
      <c r="AB127" s="57">
        <f t="shared" si="121"/>
        <v>0.49403112185403181</v>
      </c>
      <c r="AC127" s="57">
        <f t="shared" si="121"/>
        <v>0.49617057700767536</v>
      </c>
      <c r="AD127" s="57">
        <f t="shared" si="121"/>
        <v>0.49831858998193351</v>
      </c>
      <c r="AE127" s="57">
        <f t="shared" si="121"/>
        <v>0.47819715552737568</v>
      </c>
      <c r="AF127" s="57">
        <f t="shared" si="121"/>
        <v>0.48131133445988111</v>
      </c>
      <c r="AG127" s="57">
        <f t="shared" si="121"/>
        <v>0.48444419846598169</v>
      </c>
      <c r="AH127" s="57">
        <f t="shared" si="121"/>
        <v>0.48759585965611879</v>
      </c>
      <c r="AI127" s="57">
        <f t="shared" si="121"/>
        <v>0.46858254617706779</v>
      </c>
      <c r="AJ127" s="57">
        <f t="shared" si="121"/>
        <v>0.4723522187512989</v>
      </c>
      <c r="AK127" s="57">
        <f t="shared" si="121"/>
        <v>0.4761497869025792</v>
      </c>
      <c r="AL127" s="57">
        <f t="shared" si="121"/>
        <v>0.47997545705817918</v>
      </c>
      <c r="AM127" s="57">
        <f t="shared" si="121"/>
        <v>0.46158519891330324</v>
      </c>
      <c r="AN127" s="57">
        <f t="shared" si="121"/>
        <v>0.46565478362361162</v>
      </c>
      <c r="AO127" s="57">
        <f t="shared" si="121"/>
        <v>0.46823786961953223</v>
      </c>
      <c r="AP127" s="57">
        <f t="shared" si="121"/>
        <v>0.47083412935403196</v>
      </c>
    </row>
    <row r="128" spans="3:47">
      <c r="K128" s="57">
        <f t="shared" ref="K128:Z130" si="122">K118+$F118</f>
        <v>0.55000000000000004</v>
      </c>
      <c r="L128" s="57">
        <f t="shared" si="122"/>
        <v>0.55657372489739365</v>
      </c>
      <c r="M128" s="57">
        <f t="shared" si="122"/>
        <v>0.56314744979478715</v>
      </c>
      <c r="N128" s="57">
        <f t="shared" si="122"/>
        <v>0.56972117469218098</v>
      </c>
      <c r="O128" s="57">
        <f t="shared" si="122"/>
        <v>0.57917287005900764</v>
      </c>
      <c r="P128" s="57">
        <f t="shared" si="122"/>
        <v>0.58577804818557522</v>
      </c>
      <c r="Q128" s="57">
        <f t="shared" si="122"/>
        <v>0.59238322631214302</v>
      </c>
      <c r="R128" s="57">
        <f t="shared" si="122"/>
        <v>0.5989884044387106</v>
      </c>
      <c r="S128" s="57">
        <f t="shared" si="122"/>
        <v>0.60861173812071967</v>
      </c>
      <c r="T128" s="57">
        <f t="shared" si="122"/>
        <v>0.6152485199703811</v>
      </c>
      <c r="U128" s="57">
        <f t="shared" si="122"/>
        <v>0.62188530182004231</v>
      </c>
      <c r="V128" s="57">
        <f t="shared" si="122"/>
        <v>0.62852208366970364</v>
      </c>
      <c r="W128" s="57">
        <f t="shared" si="122"/>
        <v>0.60162247646947364</v>
      </c>
      <c r="X128" s="57">
        <f t="shared" si="122"/>
        <v>0.6028761232794565</v>
      </c>
      <c r="Y128" s="57">
        <f t="shared" si="122"/>
        <v>0.60413227738305919</v>
      </c>
      <c r="Z128" s="57">
        <f t="shared" si="122"/>
        <v>0.60539094379486924</v>
      </c>
      <c r="AA128" s="57">
        <f t="shared" si="121"/>
        <v>0.58065001866090826</v>
      </c>
      <c r="AB128" s="57">
        <f t="shared" si="121"/>
        <v>0.58307342244963978</v>
      </c>
      <c r="AC128" s="57">
        <f t="shared" si="121"/>
        <v>0.58550651985352609</v>
      </c>
      <c r="AD128" s="57">
        <f t="shared" si="121"/>
        <v>0.58794934964702794</v>
      </c>
      <c r="AE128" s="57">
        <f t="shared" si="121"/>
        <v>0.56506622921775562</v>
      </c>
      <c r="AF128" s="57">
        <f t="shared" si="121"/>
        <v>0.56860783216419375</v>
      </c>
      <c r="AG128" s="57">
        <f t="shared" si="121"/>
        <v>0.57217068472831067</v>
      </c>
      <c r="AH128" s="57">
        <f t="shared" si="121"/>
        <v>0.57575491440781212</v>
      </c>
      <c r="AI128" s="57">
        <f t="shared" si="121"/>
        <v>0.55413200560957421</v>
      </c>
      <c r="AJ128" s="57">
        <f t="shared" si="121"/>
        <v>0.55841906932214724</v>
      </c>
      <c r="AK128" s="57">
        <f t="shared" si="121"/>
        <v>0.56273785730619341</v>
      </c>
      <c r="AL128" s="57">
        <f t="shared" si="121"/>
        <v>0.56708860432132147</v>
      </c>
      <c r="AM128" s="57">
        <f t="shared" si="121"/>
        <v>0.54617426579317208</v>
      </c>
      <c r="AN128" s="57">
        <f t="shared" si="121"/>
        <v>0.5508024048671244</v>
      </c>
      <c r="AO128" s="57">
        <f t="shared" si="121"/>
        <v>0.55374002186740867</v>
      </c>
      <c r="AP128" s="57">
        <f t="shared" si="121"/>
        <v>0.5566926207143944</v>
      </c>
    </row>
    <row r="129" spans="11:42">
      <c r="K129" s="57">
        <f t="shared" si="122"/>
        <v>0.55000000000000004</v>
      </c>
      <c r="L129" s="57">
        <f t="shared" si="121"/>
        <v>0.55655405238331834</v>
      </c>
      <c r="M129" s="57">
        <f t="shared" si="121"/>
        <v>0.56310810476663675</v>
      </c>
      <c r="N129" s="57">
        <f t="shared" si="121"/>
        <v>0.56966215714995516</v>
      </c>
      <c r="O129" s="57">
        <f t="shared" si="121"/>
        <v>0.57908556739487016</v>
      </c>
      <c r="P129" s="57">
        <f t="shared" si="121"/>
        <v>0.58567097888050101</v>
      </c>
      <c r="Q129" s="57">
        <f t="shared" si="121"/>
        <v>0.59225639036613198</v>
      </c>
      <c r="R129" s="57">
        <f t="shared" si="121"/>
        <v>0.59884180185176306</v>
      </c>
      <c r="S129" s="57">
        <f t="shared" si="121"/>
        <v>0.60843633676743103</v>
      </c>
      <c r="T129" s="57">
        <f t="shared" si="121"/>
        <v>0.61505325739892636</v>
      </c>
      <c r="U129" s="57">
        <f t="shared" si="121"/>
        <v>0.62167017803042157</v>
      </c>
      <c r="V129" s="57">
        <f t="shared" si="121"/>
        <v>0.62828709866191679</v>
      </c>
      <c r="W129" s="57">
        <f t="shared" si="121"/>
        <v>0.60146799116459815</v>
      </c>
      <c r="X129" s="57">
        <f t="shared" si="121"/>
        <v>0.60271788631400802</v>
      </c>
      <c r="Y129" s="57">
        <f t="shared" si="121"/>
        <v>0.60397028125371677</v>
      </c>
      <c r="Z129" s="57">
        <f t="shared" si="121"/>
        <v>0.60522518098330491</v>
      </c>
      <c r="AA129" s="57">
        <f t="shared" si="121"/>
        <v>0.58055829548524718</v>
      </c>
      <c r="AB129" s="57">
        <f t="shared" si="121"/>
        <v>0.58297444700134959</v>
      </c>
      <c r="AC129" s="57">
        <f t="shared" si="121"/>
        <v>0.58540026312351634</v>
      </c>
      <c r="AD129" s="57">
        <f t="shared" si="121"/>
        <v>0.58783578251017188</v>
      </c>
      <c r="AE129" s="57">
        <f t="shared" si="121"/>
        <v>0.56502114205469767</v>
      </c>
      <c r="AF129" s="57">
        <f t="shared" si="121"/>
        <v>0.56855214640826801</v>
      </c>
      <c r="AG129" s="57">
        <f t="shared" si="121"/>
        <v>0.5721043367879598</v>
      </c>
      <c r="AH129" s="57">
        <f t="shared" si="121"/>
        <v>0.57567784030992974</v>
      </c>
      <c r="AI129" s="57">
        <f t="shared" si="121"/>
        <v>0.55411964017904836</v>
      </c>
      <c r="AJ129" s="57">
        <f t="shared" si="121"/>
        <v>0.55839387443457189</v>
      </c>
      <c r="AK129" s="57">
        <f t="shared" si="121"/>
        <v>0.5626997380235863</v>
      </c>
      <c r="AL129" s="57">
        <f t="shared" si="121"/>
        <v>0.56703746500315955</v>
      </c>
      <c r="AM129" s="57">
        <f t="shared" si="121"/>
        <v>0.54618571467659882</v>
      </c>
      <c r="AN129" s="57">
        <f t="shared" si="121"/>
        <v>0.5508000035921562</v>
      </c>
      <c r="AO129" s="57">
        <f t="shared" si="121"/>
        <v>0.55372882948653213</v>
      </c>
      <c r="AP129" s="57">
        <f t="shared" si="121"/>
        <v>0.55667259239296929</v>
      </c>
    </row>
    <row r="130" spans="11:42">
      <c r="K130" s="57">
        <f t="shared" si="122"/>
        <v>0.45</v>
      </c>
      <c r="L130" s="57">
        <f t="shared" si="121"/>
        <v>0.45746842517341613</v>
      </c>
      <c r="M130" s="57">
        <f t="shared" si="121"/>
        <v>0.46493685034683246</v>
      </c>
      <c r="N130" s="57">
        <f t="shared" si="121"/>
        <v>0.4724052755202488</v>
      </c>
      <c r="O130" s="57">
        <f t="shared" si="121"/>
        <v>0.48202667972093011</v>
      </c>
      <c r="P130" s="57">
        <f t="shared" si="121"/>
        <v>0.48953083898608535</v>
      </c>
      <c r="Q130" s="57">
        <f t="shared" si="121"/>
        <v>0.49703499825124048</v>
      </c>
      <c r="R130" s="57">
        <f t="shared" si="121"/>
        <v>0.50453915751639566</v>
      </c>
      <c r="S130" s="57">
        <f t="shared" si="121"/>
        <v>0.51435021741689169</v>
      </c>
      <c r="T130" s="57">
        <f t="shared" si="121"/>
        <v>0.52189028175030105</v>
      </c>
      <c r="U130" s="57">
        <f t="shared" si="121"/>
        <v>0.52943034608371065</v>
      </c>
      <c r="V130" s="57">
        <f t="shared" si="121"/>
        <v>0.53697041041712024</v>
      </c>
      <c r="W130" s="57">
        <f t="shared" si="121"/>
        <v>0.51610535679402259</v>
      </c>
      <c r="X130" s="57">
        <f t="shared" si="121"/>
        <v>0.51707776533962002</v>
      </c>
      <c r="Y130" s="57">
        <f t="shared" si="121"/>
        <v>0.51805211870230861</v>
      </c>
      <c r="Z130" s="57">
        <f t="shared" si="121"/>
        <v>0.51902842077172262</v>
      </c>
      <c r="AA130" s="57">
        <f t="shared" si="121"/>
        <v>0.49983777885035197</v>
      </c>
      <c r="AB130" s="57">
        <f t="shared" si="121"/>
        <v>0.50171752562977212</v>
      </c>
      <c r="AC130" s="57">
        <f t="shared" si="121"/>
        <v>0.50360479139630987</v>
      </c>
      <c r="AD130" s="57">
        <f t="shared" si="121"/>
        <v>0.50549960622591383</v>
      </c>
      <c r="AE130" s="57">
        <f t="shared" si="121"/>
        <v>0.48774999630534671</v>
      </c>
      <c r="AF130" s="57">
        <f t="shared" si="121"/>
        <v>0.49049708977920675</v>
      </c>
      <c r="AG130" s="57">
        <f t="shared" si="121"/>
        <v>0.49326066581391004</v>
      </c>
      <c r="AH130" s="57">
        <f t="shared" si="121"/>
        <v>0.49604082330482152</v>
      </c>
      <c r="AI130" s="57">
        <f t="shared" si="121"/>
        <v>0.47926871402440341</v>
      </c>
      <c r="AJ130" s="57">
        <f t="shared" si="121"/>
        <v>0.48259403448661847</v>
      </c>
      <c r="AK130" s="57">
        <f t="shared" si="121"/>
        <v>0.485943962320254</v>
      </c>
      <c r="AL130" s="57">
        <f t="shared" si="121"/>
        <v>0.48931867961985831</v>
      </c>
      <c r="AM130" s="57">
        <f t="shared" si="121"/>
        <v>0.4730961827025903</v>
      </c>
      <c r="AN130" s="57">
        <f t="shared" si="121"/>
        <v>0.4766860630021193</v>
      </c>
      <c r="AO130" s="57">
        <f t="shared" si="121"/>
        <v>0.47896466639505397</v>
      </c>
      <c r="AP130" s="57">
        <f t="shared" si="121"/>
        <v>0.48125489066529259</v>
      </c>
    </row>
    <row r="131" spans="11:42">
      <c r="O131" s="57">
        <f>O121+$F121</f>
        <v>0.6</v>
      </c>
      <c r="P131" s="57">
        <f t="shared" ref="P131:AP134" si="123">P121+$F121</f>
        <v>0.60811538285015243</v>
      </c>
      <c r="Q131" s="57">
        <f t="shared" si="123"/>
        <v>0.61623076570030488</v>
      </c>
      <c r="R131" s="57">
        <f t="shared" si="123"/>
        <v>0.62434614855045745</v>
      </c>
      <c r="S131" s="57">
        <f t="shared" si="123"/>
        <v>0.63577175335264591</v>
      </c>
      <c r="T131" s="57">
        <f t="shared" si="123"/>
        <v>0.64392596578581351</v>
      </c>
      <c r="U131" s="57">
        <f t="shared" si="123"/>
        <v>0.65208017821898123</v>
      </c>
      <c r="V131" s="57">
        <f t="shared" si="123"/>
        <v>0.66023439065214884</v>
      </c>
      <c r="W131" s="57">
        <f t="shared" si="123"/>
        <v>0.63062367521601226</v>
      </c>
      <c r="X131" s="57">
        <f t="shared" si="123"/>
        <v>0.63200367227959409</v>
      </c>
      <c r="Y131" s="57">
        <f t="shared" si="123"/>
        <v>0.63338642933730305</v>
      </c>
      <c r="Z131" s="57">
        <f t="shared" si="123"/>
        <v>0.63477195190912761</v>
      </c>
      <c r="AA131" s="57">
        <f t="shared" si="123"/>
        <v>0.60753748382506556</v>
      </c>
      <c r="AB131" s="57">
        <f t="shared" si="123"/>
        <v>0.61020513318666536</v>
      </c>
      <c r="AC131" s="57">
        <f t="shared" si="123"/>
        <v>0.61288345314571158</v>
      </c>
      <c r="AD131" s="57">
        <f t="shared" si="123"/>
        <v>0.61557248638459394</v>
      </c>
      <c r="AE131" s="57">
        <f t="shared" si="123"/>
        <v>0.5903830640157709</v>
      </c>
      <c r="AF131" s="57">
        <f t="shared" si="123"/>
        <v>0.59428161153931502</v>
      </c>
      <c r="AG131" s="57">
        <f t="shared" si="123"/>
        <v>0.59820355034800043</v>
      </c>
      <c r="AH131" s="57">
        <f t="shared" si="123"/>
        <v>0.60214902078953747</v>
      </c>
      <c r="AI131" s="57">
        <f t="shared" si="123"/>
        <v>0.57834682194848253</v>
      </c>
      <c r="AJ131" s="57">
        <f t="shared" si="123"/>
        <v>0.58306596236955543</v>
      </c>
      <c r="AK131" s="57">
        <f t="shared" si="123"/>
        <v>0.58782002442974424</v>
      </c>
      <c r="AL131" s="57">
        <f t="shared" si="123"/>
        <v>0.59260926654917856</v>
      </c>
      <c r="AM131" s="57">
        <f t="shared" si="123"/>
        <v>0.56958705205800331</v>
      </c>
      <c r="AN131" s="57">
        <f t="shared" si="123"/>
        <v>0.57468164351792983</v>
      </c>
      <c r="AO131" s="57">
        <f t="shared" si="123"/>
        <v>0.57791533166840314</v>
      </c>
      <c r="AP131" s="57">
        <f t="shared" si="123"/>
        <v>0.58116551162844421</v>
      </c>
    </row>
    <row r="132" spans="11:42">
      <c r="O132" s="57">
        <f t="shared" ref="O132:AD134" si="124">O122+$F122</f>
        <v>0.55000000000000004</v>
      </c>
      <c r="P132" s="57">
        <f t="shared" si="124"/>
        <v>0.55811538285015261</v>
      </c>
      <c r="Q132" s="57">
        <f t="shared" si="124"/>
        <v>0.56623076570030506</v>
      </c>
      <c r="R132" s="57">
        <f t="shared" si="124"/>
        <v>0.57434614855045762</v>
      </c>
      <c r="S132" s="57">
        <f t="shared" si="124"/>
        <v>0.58552906845880182</v>
      </c>
      <c r="T132" s="57">
        <f t="shared" si="124"/>
        <v>0.59368328089196931</v>
      </c>
      <c r="U132" s="57">
        <f t="shared" si="124"/>
        <v>0.60183749332513703</v>
      </c>
      <c r="V132" s="57">
        <f t="shared" si="124"/>
        <v>0.60999170575830453</v>
      </c>
      <c r="W132" s="57">
        <f t="shared" si="124"/>
        <v>0.58247806648620026</v>
      </c>
      <c r="X132" s="57">
        <f t="shared" si="124"/>
        <v>0.58376033004669547</v>
      </c>
      <c r="Y132" s="57">
        <f t="shared" si="124"/>
        <v>0.58504515813431202</v>
      </c>
      <c r="Z132" s="57">
        <f t="shared" si="124"/>
        <v>0.58633255587810273</v>
      </c>
      <c r="AA132" s="57">
        <f t="shared" si="124"/>
        <v>0.56102687448554733</v>
      </c>
      <c r="AB132" s="57">
        <f t="shared" si="124"/>
        <v>0.56350559683853518</v>
      </c>
      <c r="AC132" s="57">
        <f t="shared" si="124"/>
        <v>0.56599423408093485</v>
      </c>
      <c r="AD132" s="57">
        <f t="shared" si="124"/>
        <v>0.56849282587230454</v>
      </c>
      <c r="AE132" s="57">
        <f t="shared" si="123"/>
        <v>0.54508735692903565</v>
      </c>
      <c r="AF132" s="57">
        <f t="shared" si="123"/>
        <v>0.54870980335317832</v>
      </c>
      <c r="AG132" s="57">
        <f t="shared" si="123"/>
        <v>0.55235398445586625</v>
      </c>
      <c r="AH132" s="57">
        <f t="shared" si="123"/>
        <v>0.55602003064516992</v>
      </c>
      <c r="AI132" s="57">
        <f t="shared" si="123"/>
        <v>0.53390353993733353</v>
      </c>
      <c r="AJ132" s="57">
        <f t="shared" si="123"/>
        <v>0.53828846361470506</v>
      </c>
      <c r="AK132" s="57">
        <f t="shared" si="123"/>
        <v>0.54270583572728825</v>
      </c>
      <c r="AL132" s="57">
        <f t="shared" si="123"/>
        <v>0.5471558963935047</v>
      </c>
      <c r="AM132" s="57">
        <f t="shared" si="123"/>
        <v>0.52576415035071289</v>
      </c>
      <c r="AN132" s="57">
        <f t="shared" si="123"/>
        <v>0.53049793505002141</v>
      </c>
      <c r="AO132" s="57">
        <f t="shared" si="123"/>
        <v>0.5335026084589598</v>
      </c>
      <c r="AP132" s="57">
        <f t="shared" si="123"/>
        <v>0.53652260570228394</v>
      </c>
    </row>
    <row r="133" spans="11:42">
      <c r="O133" s="57">
        <f t="shared" si="124"/>
        <v>0.2</v>
      </c>
      <c r="P133" s="57">
        <f t="shared" si="123"/>
        <v>0.21318749713149784</v>
      </c>
      <c r="Q133" s="57">
        <f t="shared" si="123"/>
        <v>0.22637499426299565</v>
      </c>
      <c r="R133" s="57">
        <f t="shared" si="123"/>
        <v>0.23956249139449357</v>
      </c>
      <c r="S133" s="57">
        <f t="shared" si="123"/>
        <v>0.25394885190158212</v>
      </c>
      <c r="T133" s="57">
        <f t="shared" si="123"/>
        <v>0.26719944710547949</v>
      </c>
      <c r="U133" s="57">
        <f t="shared" si="123"/>
        <v>0.28045004230937687</v>
      </c>
      <c r="V133" s="57">
        <f t="shared" si="123"/>
        <v>0.29370063751327424</v>
      </c>
      <c r="W133" s="57">
        <f t="shared" si="123"/>
        <v>0.28170536185500927</v>
      </c>
      <c r="X133" s="57">
        <f t="shared" si="123"/>
        <v>0.28226439749266419</v>
      </c>
      <c r="Y133" s="57">
        <f t="shared" si="123"/>
        <v>0.28282455120159444</v>
      </c>
      <c r="Z133" s="57">
        <f t="shared" si="123"/>
        <v>0.28338582521794264</v>
      </c>
      <c r="AA133" s="57">
        <f t="shared" si="123"/>
        <v>0.2723531653425294</v>
      </c>
      <c r="AB133" s="57">
        <f t="shared" si="123"/>
        <v>0.27343382783178938</v>
      </c>
      <c r="AC133" s="57">
        <f t="shared" si="123"/>
        <v>0.27451881297100644</v>
      </c>
      <c r="AD133" s="57">
        <f t="shared" si="123"/>
        <v>0.27560813805078055</v>
      </c>
      <c r="AE133" s="57">
        <f t="shared" si="123"/>
        <v>0.26540392445661132</v>
      </c>
      <c r="AF133" s="57">
        <f t="shared" si="123"/>
        <v>0.26698322274518582</v>
      </c>
      <c r="AG133" s="57">
        <f t="shared" si="123"/>
        <v>0.26857199682349164</v>
      </c>
      <c r="AH133" s="57">
        <f t="shared" si="123"/>
        <v>0.27017030354626748</v>
      </c>
      <c r="AI133" s="57">
        <f t="shared" si="123"/>
        <v>0.26052805302425364</v>
      </c>
      <c r="AJ133" s="57">
        <f t="shared" si="123"/>
        <v>0.26243977279822928</v>
      </c>
      <c r="AK133" s="57">
        <f t="shared" si="123"/>
        <v>0.26436563929853252</v>
      </c>
      <c r="AL133" s="57">
        <f t="shared" si="123"/>
        <v>0.26630575721093774</v>
      </c>
      <c r="AM133" s="57">
        <f t="shared" si="123"/>
        <v>0.25697947768618412</v>
      </c>
      <c r="AN133" s="57">
        <f t="shared" si="123"/>
        <v>0.25904329235691914</v>
      </c>
      <c r="AO133" s="57">
        <f t="shared" si="123"/>
        <v>0.26035325667849907</v>
      </c>
      <c r="AP133" s="57">
        <f t="shared" si="123"/>
        <v>0.261669901818119</v>
      </c>
    </row>
    <row r="134" spans="11:42">
      <c r="O134" s="57">
        <f t="shared" si="124"/>
        <v>0.2</v>
      </c>
      <c r="P134" s="57">
        <f t="shared" si="123"/>
        <v>0.21318749713149784</v>
      </c>
      <c r="Q134" s="57">
        <f t="shared" si="123"/>
        <v>0.22637499426299568</v>
      </c>
      <c r="R134" s="57">
        <f t="shared" si="123"/>
        <v>0.23956249139449357</v>
      </c>
      <c r="S134" s="57">
        <f t="shared" si="123"/>
        <v>0.25382265575678309</v>
      </c>
      <c r="T134" s="57">
        <f t="shared" si="123"/>
        <v>0.26707325096068046</v>
      </c>
      <c r="U134" s="57">
        <f t="shared" si="123"/>
        <v>0.28032384616457795</v>
      </c>
      <c r="V134" s="57">
        <f t="shared" si="123"/>
        <v>0.29357444136847521</v>
      </c>
      <c r="W134" s="57">
        <f t="shared" si="123"/>
        <v>0.28266964531550709</v>
      </c>
      <c r="X134" s="57">
        <f t="shared" si="123"/>
        <v>0.28317785953155705</v>
      </c>
      <c r="Y134" s="57">
        <f t="shared" si="123"/>
        <v>0.28368709017603877</v>
      </c>
      <c r="Z134" s="57">
        <f t="shared" si="123"/>
        <v>0.28419733928181001</v>
      </c>
      <c r="AA134" s="57">
        <f t="shared" si="123"/>
        <v>0.27416764848597996</v>
      </c>
      <c r="AB134" s="57">
        <f t="shared" si="123"/>
        <v>0.27515006893076188</v>
      </c>
      <c r="AC134" s="57">
        <f t="shared" si="123"/>
        <v>0.27613641905732256</v>
      </c>
      <c r="AD134" s="57">
        <f t="shared" si="123"/>
        <v>0.27712671458438987</v>
      </c>
      <c r="AE134" s="57">
        <f t="shared" si="123"/>
        <v>0.26785015677150892</v>
      </c>
      <c r="AF134" s="57">
        <f t="shared" si="123"/>
        <v>0.2692858824883948</v>
      </c>
      <c r="AG134" s="57">
        <f t="shared" si="123"/>
        <v>0.27073022255958201</v>
      </c>
      <c r="AH134" s="57">
        <f t="shared" si="123"/>
        <v>0.27218322867119626</v>
      </c>
      <c r="AI134" s="57">
        <f t="shared" si="123"/>
        <v>0.26341754637845638</v>
      </c>
      <c r="AJ134" s="57">
        <f t="shared" si="123"/>
        <v>0.26515547344570706</v>
      </c>
      <c r="AK134" s="57">
        <f t="shared" si="123"/>
        <v>0.26690626117325539</v>
      </c>
      <c r="AL134" s="57">
        <f t="shared" si="123"/>
        <v>0.26867000472998759</v>
      </c>
      <c r="AM134" s="57">
        <f t="shared" si="123"/>
        <v>0.26019156879839328</v>
      </c>
      <c r="AN134" s="57">
        <f t="shared" si="123"/>
        <v>0.26206776395360698</v>
      </c>
      <c r="AO134" s="57">
        <f t="shared" si="123"/>
        <v>0.2632586406095887</v>
      </c>
      <c r="AP134" s="57">
        <f t="shared" si="123"/>
        <v>0.26445559073651592</v>
      </c>
    </row>
    <row r="136" spans="11:42">
      <c r="L136" s="57">
        <f>L117-K117</f>
        <v>7.1393842408266073E-3</v>
      </c>
      <c r="M136" s="57">
        <f t="shared" ref="M136:AP136" si="125">M117-L117</f>
        <v>7.1393842408272734E-3</v>
      </c>
      <c r="N136" s="57">
        <f t="shared" si="125"/>
        <v>7.1393842408271624E-3</v>
      </c>
      <c r="O136" s="57">
        <f t="shared" si="125"/>
        <v>9.6245048318329696E-3</v>
      </c>
      <c r="P136" s="57">
        <f t="shared" si="125"/>
        <v>7.1735439740369111E-3</v>
      </c>
      <c r="Q136" s="57">
        <f t="shared" si="125"/>
        <v>7.1735439740369111E-3</v>
      </c>
      <c r="R136" s="57">
        <f t="shared" si="125"/>
        <v>7.1735439740369111E-3</v>
      </c>
      <c r="S136" s="57">
        <f t="shared" si="125"/>
        <v>9.8078478018229776E-3</v>
      </c>
      <c r="T136" s="57">
        <f t="shared" si="125"/>
        <v>7.2078671509461234E-3</v>
      </c>
      <c r="U136" s="57">
        <f t="shared" si="125"/>
        <v>7.2078671509462344E-3</v>
      </c>
      <c r="V136" s="57">
        <f t="shared" si="125"/>
        <v>7.2078671509462344E-3</v>
      </c>
      <c r="W136" s="57">
        <f t="shared" si="125"/>
        <v>-2.3653185097973095E-2</v>
      </c>
      <c r="X136" s="57">
        <f t="shared" si="125"/>
        <v>1.10234844037993E-3</v>
      </c>
      <c r="Y136" s="57">
        <f t="shared" si="125"/>
        <v>1.1045531372607664E-3</v>
      </c>
      <c r="Z136" s="57">
        <f t="shared" si="125"/>
        <v>1.1067622435352309E-3</v>
      </c>
      <c r="AA136" s="57">
        <f t="shared" si="125"/>
        <v>-2.1755027028189322E-2</v>
      </c>
      <c r="AB136" s="57">
        <f t="shared" si="125"/>
        <v>2.1309314279319702E-3</v>
      </c>
      <c r="AC136" s="57">
        <f t="shared" si="125"/>
        <v>2.1394551536435547E-3</v>
      </c>
      <c r="AD136" s="57">
        <f t="shared" si="125"/>
        <v>2.1480129742581511E-3</v>
      </c>
      <c r="AE136" s="57">
        <f t="shared" si="125"/>
        <v>-2.0121434454557829E-2</v>
      </c>
      <c r="AF136" s="57">
        <f t="shared" si="125"/>
        <v>3.1141789325054292E-3</v>
      </c>
      <c r="AG136" s="57">
        <f t="shared" si="125"/>
        <v>3.1328640061005775E-3</v>
      </c>
      <c r="AH136" s="57">
        <f t="shared" si="125"/>
        <v>3.1516611901371006E-3</v>
      </c>
      <c r="AI136" s="57">
        <f t="shared" si="125"/>
        <v>-1.9013313479050997E-2</v>
      </c>
      <c r="AJ136" s="57">
        <f t="shared" si="125"/>
        <v>3.7696725742311088E-3</v>
      </c>
      <c r="AK136" s="57">
        <f t="shared" si="125"/>
        <v>3.797568151280295E-3</v>
      </c>
      <c r="AL136" s="57">
        <f t="shared" si="125"/>
        <v>3.8256701555999806E-3</v>
      </c>
      <c r="AM136" s="57">
        <f t="shared" si="125"/>
        <v>-1.8390258144875937E-2</v>
      </c>
      <c r="AN136" s="57">
        <f t="shared" si="125"/>
        <v>4.0695847103083826E-3</v>
      </c>
      <c r="AO136" s="57">
        <f t="shared" si="125"/>
        <v>2.5830859959206087E-3</v>
      </c>
      <c r="AP136" s="57">
        <f t="shared" si="125"/>
        <v>2.5962597344997285E-3</v>
      </c>
    </row>
    <row r="137" spans="11:42">
      <c r="L137" s="57">
        <f t="shared" ref="L137:AP137" si="126">L118-K118</f>
        <v>6.5737248973936069E-3</v>
      </c>
      <c r="M137" s="57">
        <f t="shared" si="126"/>
        <v>6.5737248973934959E-3</v>
      </c>
      <c r="N137" s="57">
        <f t="shared" si="126"/>
        <v>6.5737248973938289E-3</v>
      </c>
      <c r="O137" s="57">
        <f t="shared" si="126"/>
        <v>9.4516953668266623E-3</v>
      </c>
      <c r="P137" s="57">
        <f t="shared" si="126"/>
        <v>6.6051781265675791E-3</v>
      </c>
      <c r="Q137" s="57">
        <f t="shared" si="126"/>
        <v>6.6051781265678011E-3</v>
      </c>
      <c r="R137" s="57">
        <f t="shared" si="126"/>
        <v>6.6051781265675791E-3</v>
      </c>
      <c r="S137" s="57">
        <f t="shared" si="126"/>
        <v>9.623333682009072E-3</v>
      </c>
      <c r="T137" s="57">
        <f t="shared" si="126"/>
        <v>6.6367818496614328E-3</v>
      </c>
      <c r="U137" s="57">
        <f t="shared" si="126"/>
        <v>6.6367818496612108E-3</v>
      </c>
      <c r="V137" s="57">
        <f t="shared" si="126"/>
        <v>6.6367818496613218E-3</v>
      </c>
      <c r="W137" s="57">
        <f t="shared" si="126"/>
        <v>-2.6899607200229991E-2</v>
      </c>
      <c r="X137" s="57">
        <f t="shared" si="126"/>
        <v>1.2536468099828557E-3</v>
      </c>
      <c r="Y137" s="57">
        <f t="shared" si="126"/>
        <v>1.2561541036026913E-3</v>
      </c>
      <c r="Z137" s="57">
        <f t="shared" si="126"/>
        <v>1.2586664118100499E-3</v>
      </c>
      <c r="AA137" s="57">
        <f t="shared" si="126"/>
        <v>-2.4740925133960978E-2</v>
      </c>
      <c r="AB137" s="57">
        <f t="shared" si="126"/>
        <v>2.4234037887315152E-3</v>
      </c>
      <c r="AC137" s="57">
        <f t="shared" si="126"/>
        <v>2.4330974038863085E-3</v>
      </c>
      <c r="AD137" s="57">
        <f t="shared" si="126"/>
        <v>2.442829793501855E-3</v>
      </c>
      <c r="AE137" s="57">
        <f t="shared" si="126"/>
        <v>-2.2883120429272319E-2</v>
      </c>
      <c r="AF137" s="57">
        <f t="shared" si="126"/>
        <v>3.5416029464381271E-3</v>
      </c>
      <c r="AG137" s="57">
        <f t="shared" si="126"/>
        <v>3.5628525641169251E-3</v>
      </c>
      <c r="AH137" s="57">
        <f t="shared" si="126"/>
        <v>3.5842296795014494E-3</v>
      </c>
      <c r="AI137" s="57">
        <f t="shared" si="126"/>
        <v>-2.1622908798237916E-2</v>
      </c>
      <c r="AJ137" s="57">
        <f t="shared" si="126"/>
        <v>4.287063712573036E-3</v>
      </c>
      <c r="AK137" s="57">
        <f t="shared" si="126"/>
        <v>4.3187879840461685E-3</v>
      </c>
      <c r="AL137" s="57">
        <f t="shared" si="126"/>
        <v>4.3507470151280536E-3</v>
      </c>
      <c r="AM137" s="57">
        <f t="shared" si="126"/>
        <v>-2.091433852814939E-2</v>
      </c>
      <c r="AN137" s="57">
        <f t="shared" si="126"/>
        <v>4.6281390739523198E-3</v>
      </c>
      <c r="AO137" s="57">
        <f t="shared" si="126"/>
        <v>2.9376170002842761E-3</v>
      </c>
      <c r="AP137" s="57">
        <f t="shared" si="126"/>
        <v>2.9525988469857323E-3</v>
      </c>
    </row>
    <row r="138" spans="11:42">
      <c r="L138" s="57">
        <f t="shared" ref="L138:AP138" si="127">L119-K119</f>
        <v>6.5540523833182984E-3</v>
      </c>
      <c r="M138" s="57">
        <f t="shared" si="127"/>
        <v>6.5540523833184094E-3</v>
      </c>
      <c r="N138" s="57">
        <f t="shared" si="127"/>
        <v>6.5540523833184094E-3</v>
      </c>
      <c r="O138" s="57">
        <f t="shared" si="127"/>
        <v>9.4234102449149981E-3</v>
      </c>
      <c r="P138" s="57">
        <f t="shared" si="127"/>
        <v>6.5854114856308543E-3</v>
      </c>
      <c r="Q138" s="57">
        <f t="shared" si="127"/>
        <v>6.5854114856309653E-3</v>
      </c>
      <c r="R138" s="57">
        <f t="shared" si="127"/>
        <v>6.5854114856310764E-3</v>
      </c>
      <c r="S138" s="57">
        <f t="shared" si="127"/>
        <v>9.5945349156679738E-3</v>
      </c>
      <c r="T138" s="57">
        <f t="shared" si="127"/>
        <v>6.6169206314953266E-3</v>
      </c>
      <c r="U138" s="57">
        <f t="shared" si="127"/>
        <v>6.6169206314952156E-3</v>
      </c>
      <c r="V138" s="57">
        <f t="shared" si="127"/>
        <v>6.6169206314952156E-3</v>
      </c>
      <c r="W138" s="57">
        <f t="shared" si="127"/>
        <v>-2.6819107497318639E-2</v>
      </c>
      <c r="X138" s="57">
        <f t="shared" si="127"/>
        <v>1.2498951494098742E-3</v>
      </c>
      <c r="Y138" s="57">
        <f t="shared" si="127"/>
        <v>1.2523949397087453E-3</v>
      </c>
      <c r="Z138" s="57">
        <f t="shared" si="127"/>
        <v>1.2548997295881437E-3</v>
      </c>
      <c r="AA138" s="57">
        <f t="shared" si="127"/>
        <v>-2.4666885498057733E-2</v>
      </c>
      <c r="AB138" s="57">
        <f t="shared" si="127"/>
        <v>2.4161515161024161E-3</v>
      </c>
      <c r="AC138" s="57">
        <f t="shared" si="127"/>
        <v>2.4258161221667462E-3</v>
      </c>
      <c r="AD138" s="57">
        <f t="shared" si="127"/>
        <v>2.435519386655538E-3</v>
      </c>
      <c r="AE138" s="57">
        <f t="shared" si="127"/>
        <v>-2.2814640455474211E-2</v>
      </c>
      <c r="AF138" s="57">
        <f t="shared" si="127"/>
        <v>3.5310043535703439E-3</v>
      </c>
      <c r="AG138" s="57">
        <f t="shared" si="127"/>
        <v>3.5521903796917886E-3</v>
      </c>
      <c r="AH138" s="57">
        <f t="shared" si="127"/>
        <v>3.5735035219699451E-3</v>
      </c>
      <c r="AI138" s="57">
        <f t="shared" si="127"/>
        <v>-2.1558200130881389E-2</v>
      </c>
      <c r="AJ138" s="57">
        <f t="shared" si="127"/>
        <v>4.2742342555235346E-3</v>
      </c>
      <c r="AK138" s="57">
        <f t="shared" si="127"/>
        <v>4.3058635890144137E-3</v>
      </c>
      <c r="AL138" s="57">
        <f t="shared" si="127"/>
        <v>4.337726979573242E-3</v>
      </c>
      <c r="AM138" s="57">
        <f t="shared" si="127"/>
        <v>-2.0851750326560725E-2</v>
      </c>
      <c r="AN138" s="57">
        <f t="shared" si="127"/>
        <v>4.6142889155573741E-3</v>
      </c>
      <c r="AO138" s="57">
        <f t="shared" si="127"/>
        <v>2.9288258943759304E-3</v>
      </c>
      <c r="AP138" s="57">
        <f t="shared" si="127"/>
        <v>2.943762906437164E-3</v>
      </c>
    </row>
    <row r="139" spans="11:42">
      <c r="L139" s="57">
        <f t="shared" ref="L139:AP139" si="128">L120-K120</f>
        <v>7.4684251734161156E-3</v>
      </c>
      <c r="M139" s="57">
        <f t="shared" si="128"/>
        <v>7.4684251734163376E-3</v>
      </c>
      <c r="N139" s="57">
        <f t="shared" si="128"/>
        <v>7.4684251734163376E-3</v>
      </c>
      <c r="O139" s="57">
        <f t="shared" si="128"/>
        <v>9.621404200681305E-3</v>
      </c>
      <c r="P139" s="57">
        <f t="shared" si="128"/>
        <v>7.5041592651552413E-3</v>
      </c>
      <c r="Q139" s="57">
        <f t="shared" si="128"/>
        <v>7.5041592651551303E-3</v>
      </c>
      <c r="R139" s="57">
        <f t="shared" si="128"/>
        <v>7.5041592651551858E-3</v>
      </c>
      <c r="S139" s="57">
        <f t="shared" si="128"/>
        <v>9.8110599004959664E-3</v>
      </c>
      <c r="T139" s="57">
        <f t="shared" si="128"/>
        <v>7.5400643334094797E-3</v>
      </c>
      <c r="U139" s="57">
        <f t="shared" si="128"/>
        <v>7.5400643334095907E-3</v>
      </c>
      <c r="V139" s="57">
        <f t="shared" si="128"/>
        <v>7.5400643334095352E-3</v>
      </c>
      <c r="W139" s="57">
        <f t="shared" si="128"/>
        <v>-2.0865053623097596E-2</v>
      </c>
      <c r="X139" s="57">
        <f t="shared" si="128"/>
        <v>9.7240854559738077E-4</v>
      </c>
      <c r="Y139" s="57">
        <f t="shared" si="128"/>
        <v>9.7435336268858475E-4</v>
      </c>
      <c r="Z139" s="57">
        <f t="shared" si="128"/>
        <v>9.7630206941395903E-4</v>
      </c>
      <c r="AA139" s="57">
        <f t="shared" si="128"/>
        <v>-1.9190641921370599E-2</v>
      </c>
      <c r="AB139" s="57">
        <f t="shared" si="128"/>
        <v>1.8797467794200995E-3</v>
      </c>
      <c r="AC139" s="57">
        <f t="shared" si="128"/>
        <v>1.8872657665378045E-3</v>
      </c>
      <c r="AD139" s="57">
        <f t="shared" si="128"/>
        <v>1.894814829603908E-3</v>
      </c>
      <c r="AE139" s="57">
        <f t="shared" si="128"/>
        <v>-1.7749609920567067E-2</v>
      </c>
      <c r="AF139" s="57">
        <f t="shared" si="128"/>
        <v>2.7470934738600405E-3</v>
      </c>
      <c r="AG139" s="57">
        <f t="shared" si="128"/>
        <v>2.7635760347032856E-3</v>
      </c>
      <c r="AH139" s="57">
        <f t="shared" si="128"/>
        <v>2.7801574909114835E-3</v>
      </c>
      <c r="AI139" s="57">
        <f t="shared" si="128"/>
        <v>-1.6772109280418113E-2</v>
      </c>
      <c r="AJ139" s="57">
        <f t="shared" si="128"/>
        <v>3.3253204622150645E-3</v>
      </c>
      <c r="AK139" s="57">
        <f t="shared" si="128"/>
        <v>3.3499278336355243E-3</v>
      </c>
      <c r="AL139" s="57">
        <f t="shared" si="128"/>
        <v>3.3747172996043129E-3</v>
      </c>
      <c r="AM139" s="57">
        <f t="shared" si="128"/>
        <v>-1.6222496917268014E-2</v>
      </c>
      <c r="AN139" s="57">
        <f t="shared" si="128"/>
        <v>3.5898802995290024E-3</v>
      </c>
      <c r="AO139" s="57">
        <f t="shared" si="128"/>
        <v>2.278603392934675E-3</v>
      </c>
      <c r="AP139" s="57">
        <f t="shared" si="128"/>
        <v>2.2902242702386166E-3</v>
      </c>
    </row>
    <row r="167" spans="18:49">
      <c r="R167" t="s">
        <v>36</v>
      </c>
    </row>
    <row r="169" spans="18:49">
      <c r="R169">
        <v>0.5</v>
      </c>
      <c r="S169">
        <v>0.50713938424082661</v>
      </c>
      <c r="T169">
        <v>0.51427876848165388</v>
      </c>
      <c r="U169">
        <v>0.52141815272248104</v>
      </c>
      <c r="V169">
        <v>0.53104265755431401</v>
      </c>
      <c r="W169">
        <v>0.53821620152835092</v>
      </c>
      <c r="X169">
        <v>0.54538974550238783</v>
      </c>
      <c r="Y169">
        <v>0.55256328947642475</v>
      </c>
      <c r="Z169">
        <v>0.56237113727824772</v>
      </c>
      <c r="AA169">
        <v>0.56957900442919385</v>
      </c>
      <c r="AB169">
        <v>0.57678687158014008</v>
      </c>
      <c r="AC169">
        <v>0.58399473873108632</v>
      </c>
      <c r="AD169">
        <v>0.56034155363311322</v>
      </c>
      <c r="AE169">
        <v>0.56144390207349315</v>
      </c>
      <c r="AF169">
        <v>0.56254845521075392</v>
      </c>
      <c r="AG169">
        <v>0.56365521745428915</v>
      </c>
      <c r="AH169">
        <v>0.54190019042609983</v>
      </c>
      <c r="AI169">
        <v>0.5440311218540318</v>
      </c>
      <c r="AJ169">
        <v>0.54617057700767535</v>
      </c>
      <c r="AK169">
        <v>0.5483185899819335</v>
      </c>
      <c r="AL169">
        <v>0.52819715552737567</v>
      </c>
      <c r="AM169">
        <v>0.5313113344598811</v>
      </c>
      <c r="AN169">
        <v>0.53444419846598168</v>
      </c>
      <c r="AO169">
        <v>0.53759585965611878</v>
      </c>
      <c r="AP169">
        <v>0.51858254617706778</v>
      </c>
      <c r="AQ169">
        <v>0.52235221875129889</v>
      </c>
      <c r="AR169">
        <v>0.52614978690257919</v>
      </c>
      <c r="AS169">
        <v>0.52997545705817917</v>
      </c>
      <c r="AT169">
        <v>0.51158519891330323</v>
      </c>
      <c r="AU169">
        <v>0.51565478362361161</v>
      </c>
      <c r="AV169">
        <v>0.51823786961953222</v>
      </c>
      <c r="AW169">
        <v>0.52083412935403195</v>
      </c>
    </row>
    <row r="170" spans="18:49">
      <c r="R170">
        <v>0.6</v>
      </c>
      <c r="S170">
        <v>0.60657372489739358</v>
      </c>
      <c r="T170">
        <v>0.61314744979478708</v>
      </c>
      <c r="U170">
        <v>0.61972117469218091</v>
      </c>
      <c r="V170">
        <v>0.62917287005900757</v>
      </c>
      <c r="W170">
        <v>0.63577804818557515</v>
      </c>
      <c r="X170">
        <v>0.64238322631214295</v>
      </c>
      <c r="Y170">
        <v>0.64898840443871053</v>
      </c>
      <c r="Z170">
        <v>0.6586117381207196</v>
      </c>
      <c r="AA170">
        <v>0.66524851997038104</v>
      </c>
      <c r="AB170">
        <v>0.67188530182004225</v>
      </c>
      <c r="AC170">
        <v>0.67852208366970357</v>
      </c>
      <c r="AD170">
        <v>0.65162247646947358</v>
      </c>
      <c r="AE170">
        <v>0.65287612327945643</v>
      </c>
      <c r="AF170">
        <v>0.65413227738305912</v>
      </c>
      <c r="AG170">
        <v>0.65539094379486917</v>
      </c>
      <c r="AH170">
        <v>0.6306500186609082</v>
      </c>
      <c r="AI170">
        <v>0.63307342244963971</v>
      </c>
      <c r="AJ170">
        <v>0.63550651985352602</v>
      </c>
      <c r="AK170">
        <v>0.63794934964702787</v>
      </c>
      <c r="AL170">
        <v>0.61506622921775556</v>
      </c>
      <c r="AM170">
        <v>0.61860783216419368</v>
      </c>
      <c r="AN170">
        <v>0.62217068472831061</v>
      </c>
      <c r="AO170">
        <v>0.62575491440781206</v>
      </c>
      <c r="AP170">
        <v>0.60413200560957414</v>
      </c>
      <c r="AQ170">
        <v>0.60841906932214718</v>
      </c>
      <c r="AR170">
        <v>0.61273785730619335</v>
      </c>
      <c r="AS170">
        <v>0.6170886043213214</v>
      </c>
      <c r="AT170">
        <v>0.59617426579317201</v>
      </c>
      <c r="AU170">
        <v>0.60080240486712433</v>
      </c>
      <c r="AV170">
        <v>0.6037400218674086</v>
      </c>
      <c r="AW170">
        <v>0.60669262071439434</v>
      </c>
    </row>
    <row r="171" spans="18:49">
      <c r="R171">
        <v>0.6</v>
      </c>
      <c r="S171">
        <v>0.60655405238331828</v>
      </c>
      <c r="T171">
        <v>0.61310810476663669</v>
      </c>
      <c r="U171">
        <v>0.6196621571499551</v>
      </c>
      <c r="V171">
        <v>0.62908556739487009</v>
      </c>
      <c r="W171">
        <v>0.63567097888050095</v>
      </c>
      <c r="X171">
        <v>0.64225639036613191</v>
      </c>
      <c r="Y171">
        <v>0.64884180185176299</v>
      </c>
      <c r="Z171">
        <v>0.65843633676743096</v>
      </c>
      <c r="AA171">
        <v>0.66505325739892629</v>
      </c>
      <c r="AB171">
        <v>0.67167017803042151</v>
      </c>
      <c r="AC171">
        <v>0.67828709866191672</v>
      </c>
      <c r="AD171">
        <v>0.65146799116459808</v>
      </c>
      <c r="AE171">
        <v>0.65271788631400796</v>
      </c>
      <c r="AF171">
        <v>0.6539702812537167</v>
      </c>
      <c r="AG171">
        <v>0.65522518098330484</v>
      </c>
      <c r="AH171">
        <v>0.63055829548524711</v>
      </c>
      <c r="AI171">
        <v>0.63297444700134953</v>
      </c>
      <c r="AJ171">
        <v>0.63540026312351627</v>
      </c>
      <c r="AK171">
        <v>0.63783578251017181</v>
      </c>
      <c r="AL171">
        <v>0.6150211420546976</v>
      </c>
      <c r="AM171">
        <v>0.61855214640826794</v>
      </c>
      <c r="AN171">
        <v>0.62210433678795973</v>
      </c>
      <c r="AO171">
        <v>0.62567784030992968</v>
      </c>
      <c r="AP171">
        <v>0.60411964017904829</v>
      </c>
      <c r="AQ171">
        <v>0.60839387443457182</v>
      </c>
      <c r="AR171">
        <v>0.61269973802358624</v>
      </c>
      <c r="AS171">
        <v>0.61703746500315948</v>
      </c>
      <c r="AT171">
        <v>0.59618571467659875</v>
      </c>
      <c r="AU171">
        <v>0.60080000359215613</v>
      </c>
      <c r="AV171">
        <v>0.60372882948653206</v>
      </c>
      <c r="AW171">
        <v>0.60667259239296922</v>
      </c>
    </row>
    <row r="172" spans="18:49">
      <c r="R172">
        <v>0.45</v>
      </c>
      <c r="S172">
        <v>0.45746842517341613</v>
      </c>
      <c r="T172">
        <v>0.46493685034683246</v>
      </c>
      <c r="U172">
        <v>0.4724052755202488</v>
      </c>
      <c r="V172">
        <v>0.48202667972093011</v>
      </c>
      <c r="W172">
        <v>0.48953083898608535</v>
      </c>
      <c r="X172">
        <v>0.49703499825124048</v>
      </c>
      <c r="Y172">
        <v>0.50453915751639566</v>
      </c>
      <c r="Z172">
        <v>0.51435021741689169</v>
      </c>
      <c r="AA172">
        <v>0.52189028175030105</v>
      </c>
      <c r="AB172">
        <v>0.52943034608371065</v>
      </c>
      <c r="AC172">
        <v>0.53697041041712024</v>
      </c>
      <c r="AD172">
        <v>0.51610535679402259</v>
      </c>
      <c r="AE172">
        <v>0.51707776533962002</v>
      </c>
      <c r="AF172">
        <v>0.51805211870230861</v>
      </c>
      <c r="AG172">
        <v>0.51902842077172262</v>
      </c>
      <c r="AH172">
        <v>0.49983777885035197</v>
      </c>
      <c r="AI172">
        <v>0.50171752562977212</v>
      </c>
      <c r="AJ172">
        <v>0.50360479139630987</v>
      </c>
      <c r="AK172">
        <v>0.50549960622591383</v>
      </c>
      <c r="AL172">
        <v>0.48774999630534671</v>
      </c>
      <c r="AM172">
        <v>0.49049708977920675</v>
      </c>
      <c r="AN172">
        <v>0.49326066581391004</v>
      </c>
      <c r="AO172">
        <v>0.49604082330482152</v>
      </c>
      <c r="AP172">
        <v>0.47926871402440341</v>
      </c>
      <c r="AQ172">
        <v>0.48259403448661847</v>
      </c>
      <c r="AR172">
        <v>0.485943962320254</v>
      </c>
      <c r="AS172">
        <v>0.48931867961985831</v>
      </c>
      <c r="AT172">
        <v>0.4730961827025903</v>
      </c>
      <c r="AU172">
        <v>0.4766860630021193</v>
      </c>
      <c r="AV172">
        <v>0.47896466639505397</v>
      </c>
      <c r="AW172">
        <v>0.48125489066529259</v>
      </c>
    </row>
    <row r="173" spans="18:49">
      <c r="V173">
        <v>0.65</v>
      </c>
      <c r="W173">
        <v>0.65811538285015247</v>
      </c>
      <c r="X173">
        <v>0.66623076570030493</v>
      </c>
      <c r="Y173">
        <v>0.67434614855045749</v>
      </c>
      <c r="Z173">
        <v>0.68577175335264595</v>
      </c>
      <c r="AA173">
        <v>0.69392596578581356</v>
      </c>
      <c r="AB173">
        <v>0.70208017821898128</v>
      </c>
      <c r="AC173">
        <v>0.71023439065214888</v>
      </c>
      <c r="AD173">
        <v>0.6806236752160123</v>
      </c>
      <c r="AE173">
        <v>0.68200367227959413</v>
      </c>
      <c r="AF173">
        <v>0.68338642933730309</v>
      </c>
      <c r="AG173">
        <v>0.68477195190912765</v>
      </c>
      <c r="AH173">
        <v>0.65753748382506561</v>
      </c>
      <c r="AI173">
        <v>0.6602051331866654</v>
      </c>
      <c r="AJ173">
        <v>0.66288345314571162</v>
      </c>
      <c r="AK173">
        <v>0.66557248638459399</v>
      </c>
      <c r="AL173">
        <v>0.64038306401577094</v>
      </c>
      <c r="AM173">
        <v>0.64428161153931507</v>
      </c>
      <c r="AN173">
        <v>0.64820355034800048</v>
      </c>
      <c r="AO173">
        <v>0.65214902078953751</v>
      </c>
      <c r="AP173">
        <v>0.62834682194848257</v>
      </c>
      <c r="AQ173">
        <v>0.63306596236955548</v>
      </c>
      <c r="AR173">
        <v>0.63782002442974428</v>
      </c>
      <c r="AS173">
        <v>0.6426092665491786</v>
      </c>
      <c r="AT173">
        <v>0.61958705205800335</v>
      </c>
      <c r="AU173">
        <v>0.62468164351792987</v>
      </c>
      <c r="AV173">
        <v>0.62791533166840319</v>
      </c>
      <c r="AW173">
        <v>0.63116551162844425</v>
      </c>
    </row>
    <row r="174" spans="18:49">
      <c r="V174">
        <v>0.6</v>
      </c>
      <c r="W174">
        <v>0.60811538285015254</v>
      </c>
      <c r="X174">
        <v>0.61623076570030499</v>
      </c>
      <c r="Y174">
        <v>0.62434614855045756</v>
      </c>
      <c r="Z174">
        <v>0.63552906845880175</v>
      </c>
      <c r="AA174">
        <v>0.64368328089196925</v>
      </c>
      <c r="AB174">
        <v>0.65183749332513696</v>
      </c>
      <c r="AC174">
        <v>0.65999170575830446</v>
      </c>
      <c r="AD174">
        <v>0.6324780664862002</v>
      </c>
      <c r="AE174">
        <v>0.63376033004669541</v>
      </c>
      <c r="AF174">
        <v>0.63504515813431195</v>
      </c>
      <c r="AG174">
        <v>0.63633255587810267</v>
      </c>
      <c r="AH174">
        <v>0.61102687448554727</v>
      </c>
      <c r="AI174">
        <v>0.61350559683853512</v>
      </c>
      <c r="AJ174">
        <v>0.61599423408093479</v>
      </c>
      <c r="AK174">
        <v>0.61849282587230447</v>
      </c>
      <c r="AL174">
        <v>0.59508735692903558</v>
      </c>
      <c r="AM174">
        <v>0.59870980335317825</v>
      </c>
      <c r="AN174">
        <v>0.60235398445586619</v>
      </c>
      <c r="AO174">
        <v>0.60602003064516985</v>
      </c>
      <c r="AP174">
        <v>0.58390353993733346</v>
      </c>
      <c r="AQ174">
        <v>0.58828846361470499</v>
      </c>
      <c r="AR174">
        <v>0.59270583572728819</v>
      </c>
      <c r="AS174">
        <v>0.59715589639350464</v>
      </c>
      <c r="AT174">
        <v>0.57576415035071282</v>
      </c>
      <c r="AU174">
        <v>0.58049793505002134</v>
      </c>
      <c r="AV174">
        <v>0.58350260845895974</v>
      </c>
      <c r="AW174">
        <v>0.58652260570228387</v>
      </c>
    </row>
    <row r="175" spans="18:49">
      <c r="V175">
        <v>0.2</v>
      </c>
      <c r="W175">
        <v>0.21318749713149784</v>
      </c>
      <c r="X175">
        <v>0.22637499426299565</v>
      </c>
      <c r="Y175">
        <v>0.23956249139449357</v>
      </c>
      <c r="Z175">
        <v>0.25394885190158212</v>
      </c>
      <c r="AA175">
        <v>0.26719944710547949</v>
      </c>
      <c r="AB175">
        <v>0.28045004230937687</v>
      </c>
      <c r="AC175">
        <v>0.29370063751327424</v>
      </c>
      <c r="AD175">
        <v>0.28170536185500927</v>
      </c>
      <c r="AE175">
        <v>0.28226439749266419</v>
      </c>
      <c r="AF175">
        <v>0.28282455120159444</v>
      </c>
      <c r="AG175">
        <v>0.28338582521794264</v>
      </c>
      <c r="AH175">
        <v>0.2723531653425294</v>
      </c>
      <c r="AI175">
        <v>0.27343382783178938</v>
      </c>
      <c r="AJ175">
        <v>0.27451881297100644</v>
      </c>
      <c r="AK175">
        <v>0.27560813805078055</v>
      </c>
      <c r="AL175">
        <v>0.26540392445661132</v>
      </c>
      <c r="AM175">
        <v>0.26698322274518582</v>
      </c>
      <c r="AN175">
        <v>0.26857199682349164</v>
      </c>
      <c r="AO175">
        <v>0.27017030354626748</v>
      </c>
      <c r="AP175">
        <v>0.26052805302425364</v>
      </c>
      <c r="AQ175">
        <v>0.26243977279822928</v>
      </c>
      <c r="AR175">
        <v>0.26436563929853252</v>
      </c>
      <c r="AS175">
        <v>0.26630575721093774</v>
      </c>
      <c r="AT175">
        <v>0.25697947768618412</v>
      </c>
      <c r="AU175">
        <v>0.25904329235691914</v>
      </c>
      <c r="AV175">
        <v>0.26035325667849907</v>
      </c>
      <c r="AW175">
        <v>0.261669901818119</v>
      </c>
    </row>
    <row r="176" spans="18:49">
      <c r="V176">
        <v>0.2</v>
      </c>
      <c r="W176">
        <v>0.21318749713149784</v>
      </c>
      <c r="X176">
        <v>0.22637499426299568</v>
      </c>
      <c r="Y176">
        <v>0.23956249139449357</v>
      </c>
      <c r="Z176">
        <v>0.25382265575678309</v>
      </c>
      <c r="AA176">
        <v>0.26707325096068046</v>
      </c>
      <c r="AB176">
        <v>0.28032384616457795</v>
      </c>
      <c r="AC176">
        <v>0.29357444136847521</v>
      </c>
      <c r="AD176">
        <v>0.28266964531550709</v>
      </c>
      <c r="AE176">
        <v>0.28317785953155705</v>
      </c>
      <c r="AF176">
        <v>0.28368709017603877</v>
      </c>
      <c r="AG176">
        <v>0.28419733928181001</v>
      </c>
      <c r="AH176">
        <v>0.27416764848597996</v>
      </c>
      <c r="AI176">
        <v>0.27515006893076188</v>
      </c>
      <c r="AJ176">
        <v>0.27613641905732256</v>
      </c>
      <c r="AK176">
        <v>0.27712671458438987</v>
      </c>
      <c r="AL176">
        <v>0.26785015677150892</v>
      </c>
      <c r="AM176">
        <v>0.2692858824883948</v>
      </c>
      <c r="AN176">
        <v>0.27073022255958201</v>
      </c>
      <c r="AO176">
        <v>0.27218322867119626</v>
      </c>
      <c r="AP176">
        <v>0.26341754637845638</v>
      </c>
      <c r="AQ176">
        <v>0.26515547344570706</v>
      </c>
      <c r="AR176">
        <v>0.26690626117325539</v>
      </c>
      <c r="AS176">
        <v>0.26867000472998759</v>
      </c>
      <c r="AT176">
        <v>0.26019156879839328</v>
      </c>
      <c r="AU176">
        <v>0.26206776395360698</v>
      </c>
      <c r="AV176">
        <v>0.2632586406095887</v>
      </c>
      <c r="AW176">
        <v>0.26445559073651592</v>
      </c>
    </row>
  </sheetData>
  <mergeCells count="76">
    <mergeCell ref="EE2:EH2"/>
    <mergeCell ref="C50:AP50"/>
    <mergeCell ref="A53:A57"/>
    <mergeCell ref="A58:A61"/>
    <mergeCell ref="A62:A65"/>
    <mergeCell ref="AM51:AP51"/>
    <mergeCell ref="DK2:DN2"/>
    <mergeCell ref="DO2:DR2"/>
    <mergeCell ref="DS2:DV2"/>
    <mergeCell ref="DW2:DZ2"/>
    <mergeCell ref="EA2:ED2"/>
    <mergeCell ref="AQ22:AR22"/>
    <mergeCell ref="CU2:CX2"/>
    <mergeCell ref="CY2:DB2"/>
    <mergeCell ref="DC2:DF2"/>
    <mergeCell ref="DG2:DJ2"/>
    <mergeCell ref="A27:A31"/>
    <mergeCell ref="A32:A35"/>
    <mergeCell ref="A36:A39"/>
    <mergeCell ref="A40:A43"/>
    <mergeCell ref="E25:H25"/>
    <mergeCell ref="A25:B26"/>
    <mergeCell ref="C25:D25"/>
    <mergeCell ref="I25:L25"/>
    <mergeCell ref="M25:P25"/>
    <mergeCell ref="Q25:T25"/>
    <mergeCell ref="A24:T24"/>
    <mergeCell ref="A2:B3"/>
    <mergeCell ref="A4:A8"/>
    <mergeCell ref="A9:A12"/>
    <mergeCell ref="A13:A16"/>
    <mergeCell ref="A17:A20"/>
    <mergeCell ref="C2:F2"/>
    <mergeCell ref="G2:J2"/>
    <mergeCell ref="K2:N2"/>
    <mergeCell ref="O2:R2"/>
    <mergeCell ref="S2:V2"/>
    <mergeCell ref="C1:AT1"/>
    <mergeCell ref="AQ2:AT2"/>
    <mergeCell ref="W2:Z2"/>
    <mergeCell ref="AA2:AD2"/>
    <mergeCell ref="AE2:AH2"/>
    <mergeCell ref="AI2:AL2"/>
    <mergeCell ref="AM2:AP2"/>
    <mergeCell ref="AW2:AX3"/>
    <mergeCell ref="AY2:BB2"/>
    <mergeCell ref="BC2:BF2"/>
    <mergeCell ref="BG2:BJ2"/>
    <mergeCell ref="BK2:BN2"/>
    <mergeCell ref="AW17:AW20"/>
    <mergeCell ref="AY1:CP1"/>
    <mergeCell ref="C51:F51"/>
    <mergeCell ref="G51:J51"/>
    <mergeCell ref="K51:N51"/>
    <mergeCell ref="O51:R51"/>
    <mergeCell ref="CI2:CL2"/>
    <mergeCell ref="CM2:CP2"/>
    <mergeCell ref="AW4:AW8"/>
    <mergeCell ref="AW9:AW12"/>
    <mergeCell ref="AW13:AW16"/>
    <mergeCell ref="BO2:BR2"/>
    <mergeCell ref="BS2:BV2"/>
    <mergeCell ref="BW2:BZ2"/>
    <mergeCell ref="CA2:CD2"/>
    <mergeCell ref="CE2:CH2"/>
    <mergeCell ref="A74:A78"/>
    <mergeCell ref="A79:A82"/>
    <mergeCell ref="A83:A86"/>
    <mergeCell ref="A87:A90"/>
    <mergeCell ref="AQ51:AT51"/>
    <mergeCell ref="S51:V51"/>
    <mergeCell ref="W51:Z51"/>
    <mergeCell ref="AA51:AD51"/>
    <mergeCell ref="AE51:AH51"/>
    <mergeCell ref="AI51:AL51"/>
    <mergeCell ref="A66:A69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E4FF-F455-4630-A77D-C57B72070355}">
  <sheetPr codeName="Sheet3"/>
  <dimension ref="A1:BP106"/>
  <sheetViews>
    <sheetView topLeftCell="T1" zoomScale="85" zoomScaleNormal="85" workbookViewId="0">
      <selection activeCell="W4" sqref="W4:AP20"/>
    </sheetView>
  </sheetViews>
  <sheetFormatPr defaultRowHeight="14.45"/>
  <cols>
    <col min="3" max="22" width="6.85546875" customWidth="1"/>
  </cols>
  <sheetData>
    <row r="1" spans="1:68" ht="15" thickBot="1">
      <c r="C1" s="118" t="s">
        <v>37</v>
      </c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</row>
    <row r="2" spans="1:68" ht="15" thickBot="1">
      <c r="C2" s="131">
        <v>2023</v>
      </c>
      <c r="D2" s="132"/>
      <c r="E2" s="132"/>
      <c r="F2" s="133"/>
      <c r="G2" s="134">
        <v>2024</v>
      </c>
      <c r="H2" s="135"/>
      <c r="I2" s="135"/>
      <c r="J2" s="136"/>
      <c r="K2" s="137">
        <v>2025</v>
      </c>
      <c r="L2" s="138"/>
      <c r="M2" s="138"/>
      <c r="N2" s="139"/>
      <c r="O2" s="134">
        <v>2026</v>
      </c>
      <c r="P2" s="135"/>
      <c r="Q2" s="135"/>
      <c r="R2" s="136"/>
      <c r="S2" s="140">
        <v>2027</v>
      </c>
      <c r="T2" s="141"/>
      <c r="U2" s="141"/>
      <c r="V2" s="141"/>
      <c r="W2" s="146">
        <v>2028</v>
      </c>
      <c r="X2" s="147"/>
      <c r="Y2" s="147"/>
      <c r="Z2" s="148"/>
      <c r="AA2" s="149">
        <v>2029</v>
      </c>
      <c r="AB2" s="150"/>
      <c r="AC2" s="150"/>
      <c r="AD2" s="151"/>
      <c r="AE2" s="152">
        <v>2030</v>
      </c>
      <c r="AF2" s="153"/>
      <c r="AG2" s="153"/>
      <c r="AH2" s="154"/>
      <c r="AI2" s="149">
        <v>2031</v>
      </c>
      <c r="AJ2" s="150"/>
      <c r="AK2" s="150"/>
      <c r="AL2" s="151"/>
      <c r="AM2" s="142">
        <v>2032</v>
      </c>
      <c r="AN2" s="143"/>
      <c r="AO2" s="143"/>
      <c r="AP2" s="144"/>
      <c r="AQ2" s="145"/>
      <c r="AR2" s="145"/>
      <c r="AS2" s="145"/>
      <c r="AT2" s="145"/>
      <c r="BA2" t="s">
        <v>38</v>
      </c>
      <c r="BB2" s="57">
        <v>4.6399999999999997E-2</v>
      </c>
    </row>
    <row r="3" spans="1:68" ht="15" thickBot="1">
      <c r="C3">
        <v>1</v>
      </c>
      <c r="D3">
        <v>2</v>
      </c>
      <c r="E3">
        <v>3</v>
      </c>
      <c r="F3">
        <v>4</v>
      </c>
      <c r="G3">
        <v>1</v>
      </c>
      <c r="H3">
        <v>2</v>
      </c>
      <c r="I3">
        <v>3</v>
      </c>
      <c r="J3">
        <v>4</v>
      </c>
      <c r="K3">
        <v>1</v>
      </c>
      <c r="L3">
        <v>2</v>
      </c>
      <c r="M3">
        <v>3</v>
      </c>
      <c r="N3">
        <v>4</v>
      </c>
      <c r="O3">
        <v>1</v>
      </c>
      <c r="P3">
        <v>2</v>
      </c>
      <c r="Q3">
        <v>3</v>
      </c>
      <c r="R3">
        <v>4</v>
      </c>
      <c r="S3">
        <v>1</v>
      </c>
      <c r="T3">
        <v>2</v>
      </c>
      <c r="U3">
        <v>3</v>
      </c>
      <c r="V3">
        <v>4</v>
      </c>
      <c r="W3">
        <v>1</v>
      </c>
      <c r="X3">
        <v>2</v>
      </c>
      <c r="Y3">
        <v>3</v>
      </c>
      <c r="Z3">
        <v>4</v>
      </c>
      <c r="AA3">
        <v>1</v>
      </c>
      <c r="AB3">
        <v>2</v>
      </c>
      <c r="AC3">
        <v>3</v>
      </c>
      <c r="AD3">
        <v>4</v>
      </c>
      <c r="AE3">
        <v>1</v>
      </c>
      <c r="AF3">
        <v>2</v>
      </c>
      <c r="AG3">
        <v>3</v>
      </c>
      <c r="AH3">
        <v>4</v>
      </c>
      <c r="AI3">
        <v>1</v>
      </c>
      <c r="AJ3">
        <v>2</v>
      </c>
      <c r="AK3">
        <v>3</v>
      </c>
      <c r="AL3">
        <v>4</v>
      </c>
      <c r="AM3">
        <v>1</v>
      </c>
      <c r="AN3">
        <v>2</v>
      </c>
      <c r="AO3">
        <v>3</v>
      </c>
      <c r="AP3">
        <v>4</v>
      </c>
      <c r="BN3" s="67" t="s">
        <v>39</v>
      </c>
    </row>
    <row r="4" spans="1:68">
      <c r="A4" s="107">
        <v>1</v>
      </c>
      <c r="B4" s="47" t="s">
        <v>14</v>
      </c>
      <c r="C4" s="16">
        <v>47.333333333333336</v>
      </c>
      <c r="D4" s="14">
        <v>43.167999999999992</v>
      </c>
      <c r="E4" s="14">
        <v>44.682666666666655</v>
      </c>
      <c r="F4" s="14">
        <v>46.197333333333326</v>
      </c>
      <c r="G4" s="14">
        <v>48.28</v>
      </c>
      <c r="H4" s="14">
        <v>48.28</v>
      </c>
      <c r="I4" s="14">
        <v>48.28</v>
      </c>
      <c r="J4" s="14">
        <v>48.28</v>
      </c>
      <c r="K4" s="14">
        <v>49.245600000000003</v>
      </c>
      <c r="L4" s="14">
        <v>49.245600000000003</v>
      </c>
      <c r="M4" s="14">
        <v>49.245600000000003</v>
      </c>
      <c r="N4" s="14">
        <v>49.245600000000003</v>
      </c>
      <c r="O4" s="14">
        <v>50.230512000000004</v>
      </c>
      <c r="P4" s="14">
        <v>50.230512000000004</v>
      </c>
      <c r="Q4" s="14">
        <v>50.230512000000004</v>
      </c>
      <c r="R4" s="14">
        <v>50.230512000000004</v>
      </c>
      <c r="S4" s="14">
        <v>51.235122240000003</v>
      </c>
      <c r="T4" s="14">
        <v>51.235122240000003</v>
      </c>
      <c r="U4" s="14">
        <v>51.235122240000003</v>
      </c>
      <c r="V4" s="14">
        <v>51.235122240000003</v>
      </c>
      <c r="W4" s="14">
        <v>52.259824684800009</v>
      </c>
      <c r="X4" s="14">
        <v>52.259824684800002</v>
      </c>
      <c r="Y4" s="14">
        <v>52.259824684799995</v>
      </c>
      <c r="Z4" s="14">
        <v>52.259824684800002</v>
      </c>
      <c r="AA4" s="14">
        <v>53.305021178496006</v>
      </c>
      <c r="AB4" s="14">
        <v>53.305021178496013</v>
      </c>
      <c r="AC4" s="14">
        <v>53.305021178496013</v>
      </c>
      <c r="AD4" s="14">
        <v>53.305021178496006</v>
      </c>
      <c r="AE4" s="14">
        <v>54.371121602065926</v>
      </c>
      <c r="AF4" s="14">
        <v>54.371121602065926</v>
      </c>
      <c r="AG4" s="14">
        <v>54.371121602065926</v>
      </c>
      <c r="AH4" s="14">
        <v>54.371121602065926</v>
      </c>
      <c r="AI4" s="14">
        <v>55.458544034107241</v>
      </c>
      <c r="AJ4" s="14">
        <v>55.458544034107248</v>
      </c>
      <c r="AK4" s="14">
        <v>55.458544034107248</v>
      </c>
      <c r="AL4" s="14">
        <v>55.458544034107248</v>
      </c>
      <c r="AM4" s="14">
        <v>56.567714914789391</v>
      </c>
      <c r="AN4" s="14">
        <v>56.567714914789391</v>
      </c>
      <c r="AO4" s="14">
        <v>56.567714914789391</v>
      </c>
      <c r="AP4" s="14">
        <v>56.567714914789391</v>
      </c>
      <c r="AQ4" s="14"/>
      <c r="AR4" s="14"/>
      <c r="AS4" s="14"/>
      <c r="AT4" s="14"/>
      <c r="BN4" s="71">
        <v>1.2774809599999999</v>
      </c>
      <c r="BO4" s="125">
        <v>1</v>
      </c>
      <c r="BP4" s="21" t="s">
        <v>15</v>
      </c>
    </row>
    <row r="5" spans="1:68">
      <c r="A5" s="108"/>
      <c r="B5" s="47" t="s">
        <v>16</v>
      </c>
      <c r="C5" s="16">
        <v>60</v>
      </c>
      <c r="D5" s="14">
        <v>60.506666666666646</v>
      </c>
      <c r="E5" s="14">
        <v>60.506666666666661</v>
      </c>
      <c r="F5" s="14">
        <v>60.506666666666661</v>
      </c>
      <c r="G5" s="14">
        <v>62.716799999999992</v>
      </c>
      <c r="H5" s="14">
        <v>62.716799999999978</v>
      </c>
      <c r="I5" s="14">
        <v>62.716799999999978</v>
      </c>
      <c r="J5" s="14">
        <v>62.716799999999978</v>
      </c>
      <c r="K5" s="14">
        <v>64.971135999999973</v>
      </c>
      <c r="L5" s="14">
        <v>64.971135999999973</v>
      </c>
      <c r="M5" s="14">
        <v>64.971135999999973</v>
      </c>
      <c r="N5" s="14">
        <v>64.971135999999973</v>
      </c>
      <c r="O5" s="14">
        <v>64.971135999999973</v>
      </c>
      <c r="P5" s="14">
        <v>64.971135999999973</v>
      </c>
      <c r="Q5" s="14">
        <v>64.971135999999973</v>
      </c>
      <c r="R5" s="14">
        <v>64.971135999999973</v>
      </c>
      <c r="S5" s="14">
        <v>64.971135999999973</v>
      </c>
      <c r="T5" s="14">
        <v>64.971135999999973</v>
      </c>
      <c r="U5" s="14">
        <v>64.971135999999973</v>
      </c>
      <c r="V5" s="14">
        <v>64.971135999999973</v>
      </c>
      <c r="W5" s="14">
        <v>64.971135999999973</v>
      </c>
      <c r="X5" s="14">
        <v>64.971135999999973</v>
      </c>
      <c r="Y5" s="14">
        <v>64.971135999999973</v>
      </c>
      <c r="Z5" s="14">
        <v>64.971135999999973</v>
      </c>
      <c r="AA5" s="14">
        <v>64.971135999999973</v>
      </c>
      <c r="AB5" s="14">
        <v>64.971135999999973</v>
      </c>
      <c r="AC5" s="14">
        <v>64.971135999999973</v>
      </c>
      <c r="AD5" s="14">
        <v>64.971135999999973</v>
      </c>
      <c r="AE5" s="14">
        <v>64.971135999999973</v>
      </c>
      <c r="AF5" s="14">
        <v>64.971135999999973</v>
      </c>
      <c r="AG5" s="14">
        <v>64.971135999999973</v>
      </c>
      <c r="AH5" s="14">
        <v>64.971135999999973</v>
      </c>
      <c r="AI5" s="14">
        <v>64.971135999999973</v>
      </c>
      <c r="AJ5" s="14">
        <v>64.971135999999973</v>
      </c>
      <c r="AK5" s="14">
        <v>64.971135999999973</v>
      </c>
      <c r="AL5" s="14">
        <v>64.971135999999973</v>
      </c>
      <c r="AM5" s="14">
        <v>64.971135999999973</v>
      </c>
      <c r="AN5" s="14">
        <v>64.971135999999973</v>
      </c>
      <c r="AO5" s="14">
        <v>64.971135999999973</v>
      </c>
      <c r="AP5" s="14">
        <v>64.971135999999973</v>
      </c>
      <c r="AQ5" s="14"/>
      <c r="AR5" s="14"/>
      <c r="AS5" s="14"/>
      <c r="AT5" s="14"/>
      <c r="BN5" s="72">
        <v>0.77261799999999992</v>
      </c>
      <c r="BO5" s="125"/>
      <c r="BP5" s="21" t="s">
        <v>17</v>
      </c>
    </row>
    <row r="6" spans="1:68">
      <c r="A6" s="108"/>
      <c r="B6" s="47" t="s">
        <v>18</v>
      </c>
      <c r="C6" s="16">
        <v>81.219999999999985</v>
      </c>
      <c r="D6" s="14">
        <v>81.219999999999985</v>
      </c>
      <c r="E6" s="14">
        <v>81.219999999999985</v>
      </c>
      <c r="F6" s="14">
        <v>81.219999999999985</v>
      </c>
      <c r="G6" s="14">
        <v>82.906399999999991</v>
      </c>
      <c r="H6" s="14">
        <v>82.906399999999991</v>
      </c>
      <c r="I6" s="14">
        <v>82.906399999999991</v>
      </c>
      <c r="J6" s="14">
        <v>82.906399999999991</v>
      </c>
      <c r="K6" s="14">
        <v>84.626527999999993</v>
      </c>
      <c r="L6" s="14">
        <v>84.626527999999993</v>
      </c>
      <c r="M6" s="14">
        <v>84.626527999999993</v>
      </c>
      <c r="N6" s="14">
        <v>84.626527999999993</v>
      </c>
      <c r="O6" s="14">
        <v>84.626527999999993</v>
      </c>
      <c r="P6" s="14">
        <v>84.626527999999993</v>
      </c>
      <c r="Q6" s="14">
        <v>84.626527999999993</v>
      </c>
      <c r="R6" s="14">
        <v>84.626527999999993</v>
      </c>
      <c r="S6" s="14">
        <v>84.626527999999993</v>
      </c>
      <c r="T6" s="14">
        <v>84.626527999999993</v>
      </c>
      <c r="U6" s="14">
        <v>84.626527999999993</v>
      </c>
      <c r="V6" s="14">
        <v>84.626527999999993</v>
      </c>
      <c r="W6" s="14">
        <v>84.626527999999993</v>
      </c>
      <c r="X6" s="14">
        <v>84.626527999999993</v>
      </c>
      <c r="Y6" s="14">
        <v>84.626527999999993</v>
      </c>
      <c r="Z6" s="14">
        <v>84.626527999999993</v>
      </c>
      <c r="AA6" s="14">
        <v>84.626527999999993</v>
      </c>
      <c r="AB6" s="14">
        <v>84.626527999999993</v>
      </c>
      <c r="AC6" s="14">
        <v>84.626527999999993</v>
      </c>
      <c r="AD6" s="14">
        <v>84.626527999999993</v>
      </c>
      <c r="AE6" s="14">
        <v>84.626527999999993</v>
      </c>
      <c r="AF6" s="14">
        <v>84.626527999999993</v>
      </c>
      <c r="AG6" s="14">
        <v>84.626527999999993</v>
      </c>
      <c r="AH6" s="14">
        <v>84.626527999999993</v>
      </c>
      <c r="AI6" s="14">
        <v>84.626527999999993</v>
      </c>
      <c r="AJ6" s="14">
        <v>84.626527999999993</v>
      </c>
      <c r="AK6" s="14">
        <v>84.626527999999993</v>
      </c>
      <c r="AL6" s="14">
        <v>84.626527999999993</v>
      </c>
      <c r="AM6" s="14">
        <v>84.626527999999993</v>
      </c>
      <c r="AN6" s="14">
        <v>84.626527999999993</v>
      </c>
      <c r="AO6" s="14">
        <v>84.626527999999993</v>
      </c>
      <c r="AP6" s="14">
        <v>84.626527999999993</v>
      </c>
      <c r="AQ6" s="14"/>
      <c r="AR6" s="14"/>
      <c r="AS6" s="14"/>
      <c r="AT6" s="14"/>
      <c r="BN6" s="72">
        <v>3.2378719799999995</v>
      </c>
      <c r="BO6" s="125"/>
      <c r="BP6" s="21" t="s">
        <v>14</v>
      </c>
    </row>
    <row r="7" spans="1:68">
      <c r="A7" s="108"/>
      <c r="B7" s="47" t="s">
        <v>15</v>
      </c>
      <c r="C7" s="16">
        <v>59.679999999999978</v>
      </c>
      <c r="D7" s="14">
        <v>59.679999999999986</v>
      </c>
      <c r="E7" s="14">
        <v>59.679999999999978</v>
      </c>
      <c r="F7" s="14">
        <v>59.679999999999978</v>
      </c>
      <c r="G7" s="14">
        <v>60.873599999999982</v>
      </c>
      <c r="H7" s="14">
        <v>60.873599999999982</v>
      </c>
      <c r="I7" s="14">
        <v>60.873599999999982</v>
      </c>
      <c r="J7" s="14">
        <v>60.873599999999982</v>
      </c>
      <c r="K7" s="14">
        <v>62.091071999999983</v>
      </c>
      <c r="L7" s="14">
        <v>62.09107199999999</v>
      </c>
      <c r="M7" s="14">
        <v>62.091071999999983</v>
      </c>
      <c r="N7" s="14">
        <v>62.091071999999983</v>
      </c>
      <c r="O7" s="14">
        <v>63.332893439999985</v>
      </c>
      <c r="P7" s="14">
        <v>63.332893439999985</v>
      </c>
      <c r="Q7" s="14">
        <v>63.332893439999985</v>
      </c>
      <c r="R7" s="14">
        <v>63.332893439999992</v>
      </c>
      <c r="S7" s="14">
        <v>64.599551308799988</v>
      </c>
      <c r="T7" s="14">
        <v>64.599551308799988</v>
      </c>
      <c r="U7" s="14">
        <v>64.599551308799988</v>
      </c>
      <c r="V7" s="14">
        <v>64.599551308799988</v>
      </c>
      <c r="W7" s="14">
        <v>65.038311923382466</v>
      </c>
      <c r="X7" s="14">
        <v>65.038311923382466</v>
      </c>
      <c r="Y7" s="14">
        <v>65.038311923382466</v>
      </c>
      <c r="Z7" s="14">
        <v>65.038311923382466</v>
      </c>
      <c r="AA7" s="14">
        <v>65.038311923382466</v>
      </c>
      <c r="AB7" s="14">
        <v>65.038311923382466</v>
      </c>
      <c r="AC7" s="14">
        <v>65.038311923382466</v>
      </c>
      <c r="AD7" s="14">
        <v>65.038311923382466</v>
      </c>
      <c r="AE7" s="14">
        <v>65.038311923382466</v>
      </c>
      <c r="AF7" s="14">
        <v>65.038311923382466</v>
      </c>
      <c r="AG7" s="14">
        <v>65.038311923382466</v>
      </c>
      <c r="AH7" s="14">
        <v>65.038311923382466</v>
      </c>
      <c r="AI7" s="14">
        <v>65.038311923382466</v>
      </c>
      <c r="AJ7" s="14">
        <v>65.038311923382466</v>
      </c>
      <c r="AK7" s="14">
        <v>65.038311923382466</v>
      </c>
      <c r="AL7" s="14">
        <v>65.038311923382466</v>
      </c>
      <c r="AM7" s="14">
        <v>65.038311923382466</v>
      </c>
      <c r="AN7" s="14">
        <v>65.038311923382466</v>
      </c>
      <c r="AO7" s="14">
        <v>65.038311923382466</v>
      </c>
      <c r="AP7" s="14">
        <v>65.038311923382466</v>
      </c>
      <c r="AQ7" s="14"/>
      <c r="AR7" s="14"/>
      <c r="AS7" s="14"/>
      <c r="AT7" s="14"/>
      <c r="AY7" t="s">
        <v>40</v>
      </c>
      <c r="BB7" s="57">
        <v>4.7E-2</v>
      </c>
      <c r="BN7" s="72">
        <v>1.3758484599999998</v>
      </c>
      <c r="BO7" s="125"/>
      <c r="BP7" s="21" t="s">
        <v>16</v>
      </c>
    </row>
    <row r="8" spans="1:68">
      <c r="A8" s="109"/>
      <c r="B8" s="47" t="s">
        <v>17</v>
      </c>
      <c r="C8" s="16">
        <v>80.279999999999987</v>
      </c>
      <c r="D8" s="14">
        <v>80.279999999999987</v>
      </c>
      <c r="E8" s="14">
        <v>80.279999999999987</v>
      </c>
      <c r="F8" s="14">
        <v>80.279999999999987</v>
      </c>
      <c r="G8" s="14">
        <v>81.905599999999993</v>
      </c>
      <c r="H8" s="14">
        <v>81.905599999999993</v>
      </c>
      <c r="I8" s="14">
        <v>81.905599999999993</v>
      </c>
      <c r="J8" s="14">
        <v>81.905599999999993</v>
      </c>
      <c r="K8" s="14">
        <v>83.563711999999995</v>
      </c>
      <c r="L8" s="14">
        <v>83.563711999999995</v>
      </c>
      <c r="M8" s="14">
        <v>83.563711999999995</v>
      </c>
      <c r="N8" s="14">
        <v>83.563711999999995</v>
      </c>
      <c r="O8" s="14">
        <v>85.254986239999994</v>
      </c>
      <c r="P8" s="14">
        <v>85.254986239999994</v>
      </c>
      <c r="Q8" s="14">
        <v>85.254986239999994</v>
      </c>
      <c r="R8" s="14">
        <v>85.254986239999994</v>
      </c>
      <c r="S8" s="14">
        <v>86.980085964799997</v>
      </c>
      <c r="T8" s="14">
        <v>86.980085964799997</v>
      </c>
      <c r="U8" s="14">
        <v>86.980085964799997</v>
      </c>
      <c r="V8" s="14">
        <v>86.980085964799997</v>
      </c>
      <c r="W8" s="14">
        <v>86.980085964799997</v>
      </c>
      <c r="X8" s="14">
        <v>86.980085964799997</v>
      </c>
      <c r="Y8" s="14">
        <v>86.980085964799997</v>
      </c>
      <c r="Z8" s="14">
        <v>86.980085964799997</v>
      </c>
      <c r="AA8" s="14">
        <v>86.980085964799997</v>
      </c>
      <c r="AB8" s="14">
        <v>86.980085964799997</v>
      </c>
      <c r="AC8" s="14">
        <v>86.980085964799997</v>
      </c>
      <c r="AD8" s="14">
        <v>86.980085964799997</v>
      </c>
      <c r="AE8" s="14">
        <v>86.980085964799997</v>
      </c>
      <c r="AF8" s="14">
        <v>86.980085964799997</v>
      </c>
      <c r="AG8" s="14">
        <v>86.980085964799997</v>
      </c>
      <c r="AH8" s="14">
        <v>86.980085964799997</v>
      </c>
      <c r="AI8" s="14">
        <v>86.980085964799997</v>
      </c>
      <c r="AJ8" s="14">
        <v>86.980085964799997</v>
      </c>
      <c r="AK8" s="14">
        <v>86.980085964799997</v>
      </c>
      <c r="AL8" s="14">
        <v>86.980085964799997</v>
      </c>
      <c r="AM8" s="14">
        <v>86.980085964799997</v>
      </c>
      <c r="AN8" s="14">
        <v>86.980085964799997</v>
      </c>
      <c r="AO8" s="14">
        <v>86.980085964799997</v>
      </c>
      <c r="AP8" s="14">
        <v>86.980085964799997</v>
      </c>
      <c r="AQ8" s="14"/>
      <c r="AR8" s="14"/>
      <c r="AS8" s="14"/>
      <c r="AT8" s="14"/>
      <c r="BN8" s="72">
        <v>1.0818592399999998</v>
      </c>
      <c r="BO8" s="125"/>
      <c r="BP8" s="21" t="s">
        <v>18</v>
      </c>
    </row>
    <row r="9" spans="1:68">
      <c r="A9" s="107">
        <v>2</v>
      </c>
      <c r="B9" s="48" t="s">
        <v>19</v>
      </c>
      <c r="C9" s="16">
        <v>28.25</v>
      </c>
      <c r="D9" s="14">
        <v>28.25</v>
      </c>
      <c r="E9" s="14">
        <v>28.25</v>
      </c>
      <c r="F9" s="14">
        <v>28.25</v>
      </c>
      <c r="G9" s="14">
        <v>28.954999999999998</v>
      </c>
      <c r="H9" s="14">
        <v>28.954999999999998</v>
      </c>
      <c r="I9" s="14">
        <v>28.954999999999998</v>
      </c>
      <c r="J9" s="14">
        <v>28.954999999999998</v>
      </c>
      <c r="K9" s="14">
        <v>29.674099999999996</v>
      </c>
      <c r="L9" s="14">
        <v>29.674099999999996</v>
      </c>
      <c r="M9" s="14">
        <v>29.674099999999996</v>
      </c>
      <c r="N9" s="14">
        <v>29.674099999999996</v>
      </c>
      <c r="O9" s="14">
        <v>30.407581999999998</v>
      </c>
      <c r="P9" s="14">
        <v>30.407581999999998</v>
      </c>
      <c r="Q9" s="14">
        <v>30.407582000000005</v>
      </c>
      <c r="R9" s="14">
        <v>30.407581999999998</v>
      </c>
      <c r="S9" s="14">
        <v>31.155733640000001</v>
      </c>
      <c r="T9" s="14">
        <v>31.155733640000001</v>
      </c>
      <c r="U9" s="14">
        <v>31.155733640000001</v>
      </c>
      <c r="V9" s="14">
        <v>31.155733640000001</v>
      </c>
      <c r="W9" s="14">
        <v>31.283265072017031</v>
      </c>
      <c r="X9" s="14">
        <v>31.359831602161059</v>
      </c>
      <c r="Y9" s="14">
        <v>31.436551265365381</v>
      </c>
      <c r="Z9" s="14">
        <v>31.513424367896107</v>
      </c>
      <c r="AA9" s="14">
        <v>31.719281385263884</v>
      </c>
      <c r="AB9" s="14">
        <v>31.874158510804939</v>
      </c>
      <c r="AC9" s="14">
        <v>32.029655144848157</v>
      </c>
      <c r="AD9" s="14">
        <v>32.185773765427548</v>
      </c>
      <c r="AE9" s="14">
        <v>32.473701081485409</v>
      </c>
      <c r="AF9" s="14">
        <v>32.710543287974311</v>
      </c>
      <c r="AG9" s="14">
        <v>32.948806547702162</v>
      </c>
      <c r="AH9" s="14">
        <v>33.188499386988369</v>
      </c>
      <c r="AI9" s="14">
        <v>33.540133758045798</v>
      </c>
      <c r="AJ9" s="14">
        <v>33.840130747855333</v>
      </c>
      <c r="AK9" s="14">
        <v>34.142347715389455</v>
      </c>
      <c r="AL9" s="14">
        <v>34.300993180329876</v>
      </c>
      <c r="AM9" s="14">
        <v>34.691310884148088</v>
      </c>
      <c r="AN9" s="14">
        <v>34.691310884148088</v>
      </c>
      <c r="AO9" s="14">
        <v>34.691310884148088</v>
      </c>
      <c r="AP9" s="14">
        <v>34.691310884148088</v>
      </c>
      <c r="AQ9" s="14"/>
      <c r="AR9" s="14"/>
      <c r="AS9" s="14"/>
      <c r="AT9" s="14"/>
      <c r="BN9" s="72">
        <v>5.6842762027883982</v>
      </c>
      <c r="BO9" s="125">
        <v>2</v>
      </c>
      <c r="BP9" s="55" t="s">
        <v>20</v>
      </c>
    </row>
    <row r="10" spans="1:68">
      <c r="A10" s="108"/>
      <c r="B10" s="48" t="s">
        <v>21</v>
      </c>
      <c r="C10" s="16">
        <v>33.099999999999994</v>
      </c>
      <c r="D10" s="14">
        <v>33.099999999999994</v>
      </c>
      <c r="E10" s="14">
        <v>33.1</v>
      </c>
      <c r="F10" s="14">
        <v>33.099999999999987</v>
      </c>
      <c r="G10" s="14">
        <v>34.341999999999999</v>
      </c>
      <c r="H10" s="14">
        <v>34.341999999999999</v>
      </c>
      <c r="I10" s="14">
        <v>34.341999999999999</v>
      </c>
      <c r="J10" s="14">
        <v>34.341999999999999</v>
      </c>
      <c r="K10" s="14">
        <v>35.608840000000001</v>
      </c>
      <c r="L10" s="14">
        <v>35.608840000000001</v>
      </c>
      <c r="M10" s="14">
        <v>35.608840000000001</v>
      </c>
      <c r="N10" s="14">
        <v>35.608840000000001</v>
      </c>
      <c r="O10" s="14">
        <v>36.901016800000008</v>
      </c>
      <c r="P10" s="14">
        <v>36.901016800000008</v>
      </c>
      <c r="Q10" s="14">
        <v>36.901016800000008</v>
      </c>
      <c r="R10" s="14">
        <v>36.901016800000008</v>
      </c>
      <c r="S10" s="14">
        <v>38.219037136000011</v>
      </c>
      <c r="T10" s="14">
        <v>38.219037136000011</v>
      </c>
      <c r="U10" s="14">
        <v>38.219037136000011</v>
      </c>
      <c r="V10" s="14">
        <v>38.219037136000011</v>
      </c>
      <c r="W10" s="14">
        <v>38.443709531127894</v>
      </c>
      <c r="X10" s="14">
        <v>38.578596950190146</v>
      </c>
      <c r="Y10" s="14">
        <v>38.71375414409053</v>
      </c>
      <c r="Z10" s="14">
        <v>38.849181652378704</v>
      </c>
      <c r="AA10" s="14">
        <v>39.211840397869153</v>
      </c>
      <c r="AB10" s="14">
        <v>39.484687759460627</v>
      </c>
      <c r="AC10" s="14">
        <v>39.758626510498473</v>
      </c>
      <c r="AD10" s="14">
        <v>40.033661016540464</v>
      </c>
      <c r="AE10" s="14">
        <v>40.540903181850908</v>
      </c>
      <c r="AF10" s="14">
        <v>40.958148600942025</v>
      </c>
      <c r="AG10" s="14">
        <v>41.37789749254766</v>
      </c>
      <c r="AH10" s="14">
        <v>41.800164877502951</v>
      </c>
      <c r="AI10" s="14">
        <v>42.41963989715309</v>
      </c>
      <c r="AJ10" s="14">
        <v>42.948145232391994</v>
      </c>
      <c r="AK10" s="14">
        <v>43.480561507111673</v>
      </c>
      <c r="AL10" s="14">
        <v>43.760047560240722</v>
      </c>
      <c r="AM10" s="14">
        <v>44.447671089520469</v>
      </c>
      <c r="AN10" s="14">
        <v>44.447671089520469</v>
      </c>
      <c r="AO10" s="14">
        <v>44.447671089520469</v>
      </c>
      <c r="AP10" s="14">
        <v>44.447671089520469</v>
      </c>
      <c r="AQ10" s="14"/>
      <c r="AR10" s="14"/>
      <c r="AS10" s="14"/>
      <c r="AT10" s="14"/>
      <c r="BN10" s="72">
        <v>4.9613172869820001</v>
      </c>
      <c r="BO10" s="125"/>
      <c r="BP10" s="55" t="s">
        <v>19</v>
      </c>
    </row>
    <row r="11" spans="1:68">
      <c r="A11" s="108"/>
      <c r="B11" s="49" t="s">
        <v>22</v>
      </c>
      <c r="C11" s="16">
        <v>44.6</v>
      </c>
      <c r="D11" s="14">
        <v>44.6</v>
      </c>
      <c r="E11" s="14">
        <v>44.6</v>
      </c>
      <c r="F11" s="14">
        <v>44.6</v>
      </c>
      <c r="G11" s="14">
        <v>44.6</v>
      </c>
      <c r="H11" s="14">
        <v>44.6</v>
      </c>
      <c r="I11" s="14">
        <v>44.6</v>
      </c>
      <c r="J11" s="14">
        <v>44.6</v>
      </c>
      <c r="K11" s="14">
        <v>44.6</v>
      </c>
      <c r="L11" s="14">
        <v>44.6</v>
      </c>
      <c r="M11" s="14">
        <v>44.6</v>
      </c>
      <c r="N11" s="14">
        <v>44.6</v>
      </c>
      <c r="O11" s="14">
        <v>44.6</v>
      </c>
      <c r="P11" s="14">
        <v>44.6</v>
      </c>
      <c r="Q11" s="14">
        <v>44.6</v>
      </c>
      <c r="R11" s="14">
        <v>44.6</v>
      </c>
      <c r="S11" s="14">
        <v>44.6</v>
      </c>
      <c r="T11" s="14">
        <v>44.6</v>
      </c>
      <c r="U11" s="14">
        <v>44.6</v>
      </c>
      <c r="V11" s="14">
        <v>44.6</v>
      </c>
      <c r="W11" s="14">
        <v>44.6</v>
      </c>
      <c r="X11" s="14">
        <v>44.6</v>
      </c>
      <c r="Y11" s="14">
        <v>44.6</v>
      </c>
      <c r="Z11" s="14">
        <v>44.6</v>
      </c>
      <c r="AA11" s="14">
        <v>44.6</v>
      </c>
      <c r="AB11" s="14">
        <v>44.6</v>
      </c>
      <c r="AC11" s="14">
        <v>44.6</v>
      </c>
      <c r="AD11" s="14">
        <v>44.6</v>
      </c>
      <c r="AE11" s="14">
        <v>44.6</v>
      </c>
      <c r="AF11" s="14">
        <v>44.6</v>
      </c>
      <c r="AG11" s="14">
        <v>44.6</v>
      </c>
      <c r="AH11" s="14">
        <v>44.6</v>
      </c>
      <c r="AI11" s="14">
        <v>44.6</v>
      </c>
      <c r="AJ11" s="14">
        <v>44.6</v>
      </c>
      <c r="AK11" s="14">
        <v>44.6</v>
      </c>
      <c r="AL11" s="14">
        <v>44.6</v>
      </c>
      <c r="AM11" s="14">
        <v>44.6</v>
      </c>
      <c r="AN11" s="14">
        <v>44.6</v>
      </c>
      <c r="AO11" s="14">
        <v>44.6</v>
      </c>
      <c r="AP11" s="14">
        <v>44.6</v>
      </c>
      <c r="AQ11" s="14"/>
      <c r="AR11" s="14"/>
      <c r="AS11" s="14"/>
      <c r="AT11" s="14"/>
      <c r="BN11" s="72">
        <v>7.1041020624755982</v>
      </c>
      <c r="BO11" s="125"/>
      <c r="BP11" s="55" t="s">
        <v>21</v>
      </c>
    </row>
    <row r="12" spans="1:68">
      <c r="A12" s="109"/>
      <c r="B12" s="48" t="s">
        <v>20</v>
      </c>
      <c r="C12" s="16">
        <v>32.4</v>
      </c>
      <c r="D12" s="14">
        <v>32.4</v>
      </c>
      <c r="E12" s="14">
        <v>32.4</v>
      </c>
      <c r="F12" s="14">
        <v>32.4</v>
      </c>
      <c r="G12" s="14">
        <v>33.188000000000002</v>
      </c>
      <c r="H12" s="14">
        <v>33.188000000000002</v>
      </c>
      <c r="I12" s="14">
        <v>33.188000000000002</v>
      </c>
      <c r="J12" s="14">
        <v>33.188000000000002</v>
      </c>
      <c r="K12" s="14">
        <v>33.991760000000006</v>
      </c>
      <c r="L12" s="14">
        <v>33.991760000000006</v>
      </c>
      <c r="M12" s="14">
        <v>33.991760000000006</v>
      </c>
      <c r="N12" s="14">
        <v>33.991760000000006</v>
      </c>
      <c r="O12" s="14">
        <v>34.811595200000006</v>
      </c>
      <c r="P12" s="14">
        <v>34.811595200000006</v>
      </c>
      <c r="Q12" s="14">
        <v>34.811595200000006</v>
      </c>
      <c r="R12" s="14">
        <v>34.811595200000006</v>
      </c>
      <c r="S12" s="14">
        <v>35.647827104000008</v>
      </c>
      <c r="T12" s="14">
        <v>35.647827104000001</v>
      </c>
      <c r="U12" s="14">
        <v>35.647827104000008</v>
      </c>
      <c r="V12" s="14">
        <v>35.647827104000008</v>
      </c>
      <c r="W12" s="14">
        <v>35.790372874821877</v>
      </c>
      <c r="X12" s="14">
        <v>35.875953620571522</v>
      </c>
      <c r="Y12" s="14">
        <v>35.961705527812668</v>
      </c>
      <c r="Z12" s="14">
        <v>36.047628938868286</v>
      </c>
      <c r="AA12" s="14">
        <v>36.27772160508929</v>
      </c>
      <c r="AB12" s="14">
        <v>36.450832491509644</v>
      </c>
      <c r="AC12" s="14">
        <v>36.624635821475685</v>
      </c>
      <c r="AD12" s="14">
        <v>36.799134364761578</v>
      </c>
      <c r="AE12" s="14">
        <v>37.120959506681579</v>
      </c>
      <c r="AF12" s="14">
        <v>37.385685263721662</v>
      </c>
      <c r="AG12" s="14">
        <v>37.651999375304001</v>
      </c>
      <c r="AH12" s="14">
        <v>37.919911371555806</v>
      </c>
      <c r="AI12" s="14">
        <v>38.312943831688088</v>
      </c>
      <c r="AJ12" s="14">
        <v>38.648259616042573</v>
      </c>
      <c r="AK12" s="14">
        <v>38.986056737201288</v>
      </c>
      <c r="AL12" s="14">
        <v>39.163379611489283</v>
      </c>
      <c r="AM12" s="14">
        <v>39.599649612352763</v>
      </c>
      <c r="AN12" s="14">
        <v>39.599649612352763</v>
      </c>
      <c r="AO12" s="14">
        <v>39.599649612352763</v>
      </c>
      <c r="AP12" s="14">
        <v>39.599649612352763</v>
      </c>
      <c r="AQ12" s="14"/>
      <c r="AR12" s="14"/>
      <c r="AS12" s="14"/>
      <c r="AT12" s="14"/>
      <c r="BN12" s="72">
        <v>5.693973667199999</v>
      </c>
      <c r="BO12" s="125"/>
      <c r="BP12" s="62" t="s">
        <v>22</v>
      </c>
    </row>
    <row r="13" spans="1:68">
      <c r="A13" s="107">
        <v>3</v>
      </c>
      <c r="B13" s="50" t="s">
        <v>23</v>
      </c>
      <c r="C13" s="16"/>
      <c r="D13" s="16"/>
      <c r="E13" s="16"/>
      <c r="F13" s="16"/>
      <c r="G13" s="16"/>
      <c r="H13" s="16"/>
      <c r="I13" s="16"/>
      <c r="J13" s="16"/>
      <c r="K13" s="106">
        <v>30.050290796088294</v>
      </c>
      <c r="L13" s="14">
        <v>30.050290796088294</v>
      </c>
      <c r="M13" s="14">
        <v>30.050290796088294</v>
      </c>
      <c r="N13" s="14">
        <v>30.050290796088294</v>
      </c>
      <c r="O13" s="14">
        <v>30.747296612010064</v>
      </c>
      <c r="P13" s="14">
        <v>30.747296612010064</v>
      </c>
      <c r="Q13" s="14">
        <v>30.747296612010064</v>
      </c>
      <c r="R13" s="14">
        <v>30.747296612010064</v>
      </c>
      <c r="S13" s="14">
        <v>31.458242544250265</v>
      </c>
      <c r="T13" s="14">
        <v>31.458242544250265</v>
      </c>
      <c r="U13" s="14">
        <v>31.458242544250265</v>
      </c>
      <c r="V13" s="14">
        <v>31.458242544250265</v>
      </c>
      <c r="W13" s="14">
        <v>31.579431816555104</v>
      </c>
      <c r="X13" s="14">
        <v>31.652190680188209</v>
      </c>
      <c r="Y13" s="14">
        <v>31.725095061548583</v>
      </c>
      <c r="Z13" s="14">
        <v>31.798145251671681</v>
      </c>
      <c r="AA13" s="14">
        <v>31.993764964703008</v>
      </c>
      <c r="AB13" s="14">
        <v>32.140940024561822</v>
      </c>
      <c r="AC13" s="14">
        <v>32.288703784660065</v>
      </c>
      <c r="AD13" s="14">
        <v>32.437058599798704</v>
      </c>
      <c r="AE13" s="14">
        <v>32.710667241667331</v>
      </c>
      <c r="AF13" s="14">
        <v>32.935731245117331</v>
      </c>
      <c r="AG13" s="14">
        <v>33.162145632588036</v>
      </c>
      <c r="AH13" s="14">
        <v>33.389918506383566</v>
      </c>
      <c r="AI13" s="14">
        <v>33.724066040617558</v>
      </c>
      <c r="AJ13" s="14">
        <v>34.009144129318116</v>
      </c>
      <c r="AK13" s="14">
        <v>34.296331795875069</v>
      </c>
      <c r="AL13" s="14">
        <v>34.447087794976717</v>
      </c>
      <c r="AM13" s="14">
        <v>34.817994933282115</v>
      </c>
      <c r="AN13" s="14">
        <v>34.817994933282115</v>
      </c>
      <c r="AO13" s="14">
        <v>34.817994933282115</v>
      </c>
      <c r="AP13" s="14">
        <v>34.817994933282115</v>
      </c>
      <c r="AQ13" s="14"/>
      <c r="AR13" s="14"/>
      <c r="AS13" s="14"/>
      <c r="AT13" s="14"/>
      <c r="BN13" s="72">
        <v>5.6401890999999997</v>
      </c>
      <c r="BO13" s="125">
        <v>3</v>
      </c>
      <c r="BP13" s="63" t="s">
        <v>24</v>
      </c>
    </row>
    <row r="14" spans="1:68">
      <c r="A14" s="108"/>
      <c r="B14" s="50" t="s">
        <v>24</v>
      </c>
      <c r="C14" s="16"/>
      <c r="D14" s="16"/>
      <c r="E14" s="16"/>
      <c r="F14" s="16"/>
      <c r="G14" s="16"/>
      <c r="H14" s="16"/>
      <c r="I14" s="16"/>
      <c r="J14" s="16"/>
      <c r="K14" s="106">
        <v>42.92652799999999</v>
      </c>
      <c r="L14" s="14">
        <v>42.92652799999999</v>
      </c>
      <c r="M14" s="14">
        <v>42.92652799999999</v>
      </c>
      <c r="N14" s="14">
        <v>42.92652799999999</v>
      </c>
      <c r="O14" s="14">
        <v>42.92652799999999</v>
      </c>
      <c r="P14" s="14">
        <v>42.92652799999999</v>
      </c>
      <c r="Q14" s="14">
        <v>42.92652799999999</v>
      </c>
      <c r="R14" s="14">
        <v>42.92652799999999</v>
      </c>
      <c r="S14" s="14">
        <v>42.92652799999999</v>
      </c>
      <c r="T14" s="14">
        <v>42.92652799999999</v>
      </c>
      <c r="U14" s="14">
        <v>42.92652799999999</v>
      </c>
      <c r="V14" s="14">
        <v>42.92652799999999</v>
      </c>
      <c r="W14" s="14">
        <v>42.92652799999999</v>
      </c>
      <c r="X14" s="14">
        <v>42.92652799999999</v>
      </c>
      <c r="Y14" s="14">
        <v>42.92652799999999</v>
      </c>
      <c r="Z14" s="14">
        <v>42.92652799999999</v>
      </c>
      <c r="AA14" s="14">
        <v>42.92652799999999</v>
      </c>
      <c r="AB14" s="14">
        <v>42.92652799999999</v>
      </c>
      <c r="AC14" s="14">
        <v>42.92652799999999</v>
      </c>
      <c r="AD14" s="14">
        <v>42.92652799999999</v>
      </c>
      <c r="AE14" s="14">
        <v>42.92652799999999</v>
      </c>
      <c r="AF14" s="14">
        <v>42.92652799999999</v>
      </c>
      <c r="AG14" s="14">
        <v>42.92652799999999</v>
      </c>
      <c r="AH14" s="14">
        <v>42.92652799999999</v>
      </c>
      <c r="AI14" s="14">
        <v>42.92652799999999</v>
      </c>
      <c r="AJ14" s="14">
        <v>42.92652799999999</v>
      </c>
      <c r="AK14" s="14">
        <v>42.92652799999999</v>
      </c>
      <c r="AL14" s="14">
        <v>42.92652799999999</v>
      </c>
      <c r="AM14" s="14">
        <v>42.92652799999999</v>
      </c>
      <c r="AN14" s="14">
        <v>42.92652799999999</v>
      </c>
      <c r="AO14" s="14">
        <v>42.92652799999999</v>
      </c>
      <c r="AP14" s="14">
        <v>42.92652799999999</v>
      </c>
      <c r="AQ14" s="14"/>
      <c r="AR14" s="14"/>
      <c r="AS14" s="14"/>
      <c r="AT14" s="14"/>
      <c r="BN14" s="72">
        <v>1.0178909999999999</v>
      </c>
      <c r="BO14" s="125"/>
      <c r="BP14" s="63" t="s">
        <v>25</v>
      </c>
    </row>
    <row r="15" spans="1:68">
      <c r="A15" s="108"/>
      <c r="B15" s="50" t="s">
        <v>25</v>
      </c>
      <c r="C15" s="16"/>
      <c r="D15" s="16"/>
      <c r="E15" s="16"/>
      <c r="F15" s="16"/>
      <c r="G15" s="16"/>
      <c r="H15" s="16"/>
      <c r="I15" s="16"/>
      <c r="J15" s="16"/>
      <c r="K15" s="106">
        <v>43.601670014076873</v>
      </c>
      <c r="L15" s="14">
        <v>43.601670014076873</v>
      </c>
      <c r="M15" s="14">
        <v>43.601670014076873</v>
      </c>
      <c r="N15" s="14">
        <v>43.601670014076873</v>
      </c>
      <c r="O15" s="14">
        <v>44.769703414358403</v>
      </c>
      <c r="P15" s="14">
        <v>44.76970341435841</v>
      </c>
      <c r="Q15" s="14">
        <v>44.769703414358418</v>
      </c>
      <c r="R15" s="14">
        <v>44.76970341435841</v>
      </c>
      <c r="S15" s="14">
        <v>45.961097482645577</v>
      </c>
      <c r="T15" s="14">
        <v>45.961097482645577</v>
      </c>
      <c r="U15" s="14">
        <v>45.96109748264557</v>
      </c>
      <c r="V15" s="14">
        <v>45.961097482645577</v>
      </c>
      <c r="W15" s="14">
        <v>46.164184909714862</v>
      </c>
      <c r="X15" s="14">
        <v>46.286113279534284</v>
      </c>
      <c r="Y15" s="14">
        <v>46.408285506093357</v>
      </c>
      <c r="Z15" s="14">
        <v>46.530702077105538</v>
      </c>
      <c r="AA15" s="14">
        <v>46.858519081432661</v>
      </c>
      <c r="AB15" s="14">
        <v>47.105153157758409</v>
      </c>
      <c r="AC15" s="14">
        <v>47.352773770389433</v>
      </c>
      <c r="AD15" s="14">
        <v>47.60138486547099</v>
      </c>
      <c r="AE15" s="14">
        <v>48.059894715759107</v>
      </c>
      <c r="AF15" s="14">
        <v>48.437054084053656</v>
      </c>
      <c r="AG15" s="14">
        <v>48.816476408557982</v>
      </c>
      <c r="AH15" s="14">
        <v>49.198175267009333</v>
      </c>
      <c r="AI15" s="14">
        <v>49.758135416109212</v>
      </c>
      <c r="AJ15" s="14">
        <v>50.235865618188413</v>
      </c>
      <c r="AK15" s="14">
        <v>50.717131023763002</v>
      </c>
      <c r="AL15" s="14">
        <v>50.969765992110609</v>
      </c>
      <c r="AM15" s="14">
        <v>51.591327413905375</v>
      </c>
      <c r="AN15" s="14">
        <v>51.591327413905375</v>
      </c>
      <c r="AO15" s="14">
        <v>51.591327413905375</v>
      </c>
      <c r="AP15" s="14">
        <v>51.591327413905375</v>
      </c>
      <c r="AQ15" s="14"/>
      <c r="AR15" s="14"/>
      <c r="AS15" s="14"/>
      <c r="AT15" s="14"/>
      <c r="BN15" s="72">
        <v>1.5232776999999997</v>
      </c>
      <c r="BO15" s="125"/>
      <c r="BP15" s="63" t="s">
        <v>26</v>
      </c>
    </row>
    <row r="16" spans="1:68">
      <c r="A16" s="109"/>
      <c r="B16" s="50" t="s">
        <v>27</v>
      </c>
      <c r="C16" s="16"/>
      <c r="D16" s="16"/>
      <c r="E16" s="16"/>
      <c r="F16" s="16"/>
      <c r="G16" s="16"/>
      <c r="H16" s="16"/>
      <c r="I16" s="16"/>
      <c r="J16" s="16"/>
      <c r="K16" s="106">
        <v>29.052715311291553</v>
      </c>
      <c r="L16" s="14">
        <v>29.052715311291553</v>
      </c>
      <c r="M16" s="14">
        <v>29.052715311291553</v>
      </c>
      <c r="N16" s="14">
        <v>29.052715311291553</v>
      </c>
      <c r="O16" s="14">
        <v>29.729769617517388</v>
      </c>
      <c r="P16" s="14">
        <v>29.729769617517388</v>
      </c>
      <c r="Q16" s="14">
        <v>29.729769617517402</v>
      </c>
      <c r="R16" s="14">
        <v>29.729769617517388</v>
      </c>
      <c r="S16" s="14">
        <v>30.420365009867734</v>
      </c>
      <c r="T16" s="14">
        <v>30.420365009867734</v>
      </c>
      <c r="U16" s="14">
        <v>30.420365009867734</v>
      </c>
      <c r="V16" s="14">
        <v>30.420365009867734</v>
      </c>
      <c r="W16" s="14">
        <v>30.538085288247135</v>
      </c>
      <c r="X16" s="14">
        <v>30.608761458823633</v>
      </c>
      <c r="Y16" s="14">
        <v>30.679578981741276</v>
      </c>
      <c r="Z16" s="14">
        <v>30.750538139704755</v>
      </c>
      <c r="AA16" s="14">
        <v>30.940558317535501</v>
      </c>
      <c r="AB16" s="14">
        <v>31.083520550805648</v>
      </c>
      <c r="AC16" s="14">
        <v>31.227054633008873</v>
      </c>
      <c r="AD16" s="14">
        <v>31.371162851540905</v>
      </c>
      <c r="AE16" s="14">
        <v>31.636939556650265</v>
      </c>
      <c r="AF16" s="14">
        <v>31.855561193990159</v>
      </c>
      <c r="AG16" s="14">
        <v>32.075494561154116</v>
      </c>
      <c r="AH16" s="14">
        <v>32.296747528521038</v>
      </c>
      <c r="AI16" s="14">
        <v>32.62133022467642</v>
      </c>
      <c r="AJ16" s="14">
        <v>32.898248068339015</v>
      </c>
      <c r="AK16" s="14">
        <v>33.17721510404472</v>
      </c>
      <c r="AL16" s="14">
        <v>33.323655773619556</v>
      </c>
      <c r="AM16" s="14">
        <v>33.683945845040952</v>
      </c>
      <c r="AN16" s="14">
        <v>33.683945845040952</v>
      </c>
      <c r="AO16" s="14">
        <v>33.683945845040952</v>
      </c>
      <c r="AP16" s="14">
        <v>33.683945845040952</v>
      </c>
      <c r="AQ16" s="14"/>
      <c r="AR16" s="14"/>
      <c r="AS16" s="14"/>
      <c r="AT16" s="14"/>
      <c r="BN16" s="72">
        <v>2.4687432</v>
      </c>
      <c r="BO16" s="125"/>
      <c r="BP16" s="63" t="s">
        <v>28</v>
      </c>
    </row>
    <row r="17" spans="1:68" ht="15" thickBot="1">
      <c r="A17" s="107">
        <v>4</v>
      </c>
      <c r="B17" s="53" t="s">
        <v>29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04">
        <v>49.899999999999991</v>
      </c>
      <c r="P17" s="14">
        <v>49.937671666239339</v>
      </c>
      <c r="Q17" s="14">
        <v>49.937671666239339</v>
      </c>
      <c r="R17" s="14">
        <v>49.937671666239339</v>
      </c>
      <c r="S17" s="14">
        <v>51.304425099564128</v>
      </c>
      <c r="T17" s="14">
        <v>51.304425099564128</v>
      </c>
      <c r="U17" s="14">
        <v>51.304425099564128</v>
      </c>
      <c r="V17" s="14">
        <v>51.304425099564128</v>
      </c>
      <c r="W17" s="14">
        <v>51.657778800426513</v>
      </c>
      <c r="X17" s="14">
        <v>51.797894358027378</v>
      </c>
      <c r="Y17" s="14">
        <v>51.938290146743427</v>
      </c>
      <c r="Z17" s="14">
        <v>52.078966727036914</v>
      </c>
      <c r="AA17" s="14">
        <v>52.496310120440654</v>
      </c>
      <c r="AB17" s="14">
        <v>52.739104589941931</v>
      </c>
      <c r="AC17" s="14">
        <v>53.023661008301701</v>
      </c>
      <c r="AD17" s="14">
        <v>53.309355652334972</v>
      </c>
      <c r="AE17" s="14">
        <v>53.919121651625034</v>
      </c>
      <c r="AF17" s="14">
        <v>54.269675705042758</v>
      </c>
      <c r="AG17" s="14">
        <v>54.705693759273004</v>
      </c>
      <c r="AH17" s="14">
        <v>55.144327921828648</v>
      </c>
      <c r="AI17" s="14">
        <v>55.570893551058234</v>
      </c>
      <c r="AJ17" s="14">
        <v>55.570893551058234</v>
      </c>
      <c r="AK17" s="14">
        <v>55.570893551058234</v>
      </c>
      <c r="AL17" s="14">
        <v>55.570893551058234</v>
      </c>
      <c r="AM17" s="14">
        <v>55.570893551058234</v>
      </c>
      <c r="AN17" s="14">
        <v>55.570893551058234</v>
      </c>
      <c r="AO17" s="14">
        <v>55.570893551058234</v>
      </c>
      <c r="AP17" s="14">
        <v>55.570893551058234</v>
      </c>
      <c r="AQ17" s="14"/>
      <c r="AR17" s="14"/>
      <c r="AS17" s="14"/>
      <c r="AT17" s="14"/>
      <c r="BN17" s="72">
        <v>11.666131248505998</v>
      </c>
      <c r="BO17" s="125">
        <v>4</v>
      </c>
      <c r="BP17" s="64" t="s">
        <v>30</v>
      </c>
    </row>
    <row r="18" spans="1:68">
      <c r="A18" s="108"/>
      <c r="B18" s="51" t="s">
        <v>30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04">
        <v>32.394879251523328</v>
      </c>
      <c r="P18" s="14">
        <v>32.394879251523328</v>
      </c>
      <c r="Q18" s="14">
        <v>32.394879251523328</v>
      </c>
      <c r="R18" s="14">
        <v>32.394879251523328</v>
      </c>
      <c r="S18" s="14">
        <v>33.130776836553792</v>
      </c>
      <c r="T18" s="14">
        <v>33.130776836553792</v>
      </c>
      <c r="U18" s="14">
        <v>33.130776836553792</v>
      </c>
      <c r="V18" s="14">
        <v>33.130776836553792</v>
      </c>
      <c r="W18" s="14">
        <v>33.321032173607271</v>
      </c>
      <c r="X18" s="14">
        <v>33.396474237954479</v>
      </c>
      <c r="Y18" s="14">
        <v>33.472067186430351</v>
      </c>
      <c r="Z18" s="14">
        <v>33.547811320803241</v>
      </c>
      <c r="AA18" s="14">
        <v>33.77252046573448</v>
      </c>
      <c r="AB18" s="14">
        <v>33.903247676223465</v>
      </c>
      <c r="AC18" s="14">
        <v>34.056460666928324</v>
      </c>
      <c r="AD18" s="14">
        <v>34.210286509596052</v>
      </c>
      <c r="AE18" s="14">
        <v>34.538601270232654</v>
      </c>
      <c r="AF18" s="14">
        <v>34.72734920021238</v>
      </c>
      <c r="AG18" s="14">
        <v>34.962113295413651</v>
      </c>
      <c r="AH18" s="14">
        <v>35.198285975186131</v>
      </c>
      <c r="AI18" s="14">
        <v>35.427960625165582</v>
      </c>
      <c r="AJ18" s="14">
        <v>35.427960625165582</v>
      </c>
      <c r="AK18" s="14">
        <v>35.427960625165582</v>
      </c>
      <c r="AL18" s="14">
        <v>35.427960625165582</v>
      </c>
      <c r="AM18" s="14">
        <v>35.427960625165582</v>
      </c>
      <c r="AN18" s="14">
        <v>35.427960625165582</v>
      </c>
      <c r="AO18" s="14">
        <v>35.427960625165582</v>
      </c>
      <c r="AP18" s="14">
        <v>35.427960625165582</v>
      </c>
      <c r="AQ18" s="14"/>
      <c r="AR18" s="14"/>
      <c r="AS18" s="14"/>
      <c r="AT18" s="14"/>
      <c r="BN18" s="72">
        <v>6.0926104038799993</v>
      </c>
      <c r="BO18" s="125"/>
      <c r="BP18" s="28" t="s">
        <v>31</v>
      </c>
    </row>
    <row r="19" spans="1:68">
      <c r="A19" s="108"/>
      <c r="B19" s="52" t="s">
        <v>31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04">
        <v>27.384963565692701</v>
      </c>
      <c r="P19" s="14">
        <v>27.384963565692711</v>
      </c>
      <c r="Q19" s="14">
        <v>27.384963565692715</v>
      </c>
      <c r="R19" s="14">
        <v>27.384963565692711</v>
      </c>
      <c r="S19" s="14">
        <v>28.020662837006569</v>
      </c>
      <c r="T19" s="14">
        <v>28.020662837006569</v>
      </c>
      <c r="U19" s="14">
        <v>28.020662837006569</v>
      </c>
      <c r="V19" s="14">
        <v>28.020662837006569</v>
      </c>
      <c r="W19" s="14">
        <v>28.185013395547216</v>
      </c>
      <c r="X19" s="14">
        <v>28.25018342233831</v>
      </c>
      <c r="Y19" s="14">
        <v>28.315483789182984</v>
      </c>
      <c r="Z19" s="14">
        <v>28.380914756761356</v>
      </c>
      <c r="AA19" s="14">
        <v>28.575027962995655</v>
      </c>
      <c r="AB19" s="14">
        <v>28.68795562322881</v>
      </c>
      <c r="AC19" s="14">
        <v>28.820307445721724</v>
      </c>
      <c r="AD19" s="14">
        <v>28.953188675504613</v>
      </c>
      <c r="AE19" s="14">
        <v>29.236800768197675</v>
      </c>
      <c r="AF19" s="14">
        <v>29.39984916513616</v>
      </c>
      <c r="AG19" s="14">
        <v>29.602648260126983</v>
      </c>
      <c r="AH19" s="14">
        <v>29.806664149687727</v>
      </c>
      <c r="AI19" s="14">
        <v>30.005066767934075</v>
      </c>
      <c r="AJ19" s="14">
        <v>30.005066767934075</v>
      </c>
      <c r="AK19" s="14">
        <v>30.005066767934075</v>
      </c>
      <c r="AL19" s="14">
        <v>30.005066767934075</v>
      </c>
      <c r="AM19" s="14">
        <v>30.005066767934075</v>
      </c>
      <c r="AN19" s="14">
        <v>29.965645325432519</v>
      </c>
      <c r="AO19" s="14">
        <v>29.965645325432519</v>
      </c>
      <c r="AP19" s="14">
        <v>29.965645325432519</v>
      </c>
      <c r="AQ19" s="14"/>
      <c r="AR19" s="14"/>
      <c r="AS19" s="14"/>
      <c r="AT19" s="14"/>
      <c r="BN19" s="72">
        <v>2.5030178317536</v>
      </c>
      <c r="BO19" s="125"/>
      <c r="BP19" s="28" t="s">
        <v>32</v>
      </c>
    </row>
    <row r="20" spans="1:68" ht="15" thickBot="1">
      <c r="A20" s="109"/>
      <c r="B20" s="52" t="s">
        <v>32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04">
        <v>39.609949552497589</v>
      </c>
      <c r="P20" s="14">
        <v>39.609949552497589</v>
      </c>
      <c r="Q20" s="14">
        <v>39.609949552497589</v>
      </c>
      <c r="R20" s="14">
        <v>39.609949552497589</v>
      </c>
      <c r="S20" s="14">
        <v>40.490148543547541</v>
      </c>
      <c r="T20" s="14">
        <v>40.490148543547541</v>
      </c>
      <c r="U20" s="14">
        <v>40.490148543547541</v>
      </c>
      <c r="V20" s="14">
        <v>40.490148543547541</v>
      </c>
      <c r="W20" s="14">
        <v>40.717710855373049</v>
      </c>
      <c r="X20" s="14">
        <v>40.807946277083794</v>
      </c>
      <c r="Y20" s="14">
        <v>40.898362169637984</v>
      </c>
      <c r="Z20" s="14">
        <v>40.988958893977205</v>
      </c>
      <c r="AA20" s="14">
        <v>41.257731025686283</v>
      </c>
      <c r="AB20" s="14">
        <v>41.414092401393731</v>
      </c>
      <c r="AC20" s="14">
        <v>41.59734877099929</v>
      </c>
      <c r="AD20" s="14">
        <v>41.781338166083295</v>
      </c>
      <c r="AE20" s="14">
        <v>42.174031832889092</v>
      </c>
      <c r="AF20" s="14">
        <v>42.399791151726966</v>
      </c>
      <c r="AG20" s="14">
        <v>42.680589898637344</v>
      </c>
      <c r="AH20" s="14">
        <v>42.963073438029163</v>
      </c>
      <c r="AI20" s="14">
        <v>43.237784755600998</v>
      </c>
      <c r="AJ20" s="14">
        <v>43.237784755600998</v>
      </c>
      <c r="AK20" s="14">
        <v>43.237784755600998</v>
      </c>
      <c r="AL20" s="14">
        <v>43.237784755600998</v>
      </c>
      <c r="AM20" s="14">
        <v>43.237784755600998</v>
      </c>
      <c r="AN20" s="14">
        <v>43.237784755600998</v>
      </c>
      <c r="AO20" s="14">
        <v>43.237784755600998</v>
      </c>
      <c r="AP20" s="14">
        <v>43.237784755600998</v>
      </c>
      <c r="AQ20" s="14"/>
      <c r="AR20" s="14"/>
      <c r="AS20" s="14"/>
      <c r="AT20" s="14"/>
      <c r="BN20" s="73">
        <v>2.6009211937967995</v>
      </c>
      <c r="BO20" s="126"/>
      <c r="BP20" s="74" t="s">
        <v>29</v>
      </c>
    </row>
    <row r="22" spans="1:68"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</row>
    <row r="23" spans="1:68">
      <c r="AA23" s="118" t="s">
        <v>41</v>
      </c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</row>
    <row r="24" spans="1:68">
      <c r="C24" s="127">
        <v>2022</v>
      </c>
      <c r="D24" s="127"/>
      <c r="E24" s="127"/>
      <c r="F24" s="127"/>
      <c r="G24" s="128">
        <v>2023</v>
      </c>
      <c r="H24" s="128"/>
      <c r="I24" s="128"/>
      <c r="J24" s="128"/>
      <c r="K24" s="129">
        <v>2024</v>
      </c>
      <c r="L24" s="129"/>
      <c r="M24" s="129"/>
      <c r="N24" s="129"/>
      <c r="O24" s="128">
        <v>2025</v>
      </c>
      <c r="P24" s="128"/>
      <c r="Q24" s="128"/>
      <c r="R24" s="128"/>
      <c r="S24" s="130">
        <v>2026</v>
      </c>
      <c r="T24" s="130"/>
      <c r="U24" s="130"/>
      <c r="V24" s="130"/>
      <c r="AA24" s="127">
        <v>2022</v>
      </c>
      <c r="AB24" s="127"/>
      <c r="AC24" s="127"/>
      <c r="AD24" s="127"/>
      <c r="AE24" s="128">
        <v>2023</v>
      </c>
      <c r="AF24" s="128"/>
      <c r="AG24" s="128"/>
      <c r="AH24" s="128"/>
      <c r="AI24" s="129">
        <v>2024</v>
      </c>
      <c r="AJ24" s="129"/>
      <c r="AK24" s="129"/>
      <c r="AL24" s="129"/>
      <c r="AM24" s="128">
        <v>2025</v>
      </c>
      <c r="AN24" s="128"/>
      <c r="AO24" s="128"/>
      <c r="AP24" s="128"/>
      <c r="AQ24" s="130">
        <v>2026</v>
      </c>
      <c r="AR24" s="130"/>
      <c r="AS24" s="130"/>
      <c r="AT24" s="130"/>
    </row>
    <row r="25" spans="1:68">
      <c r="C25">
        <v>1</v>
      </c>
      <c r="D25">
        <v>2</v>
      </c>
      <c r="E25">
        <v>3</v>
      </c>
      <c r="F25">
        <v>4</v>
      </c>
      <c r="G25">
        <v>1</v>
      </c>
      <c r="H25">
        <v>2</v>
      </c>
      <c r="I25">
        <v>3</v>
      </c>
      <c r="J25">
        <v>4</v>
      </c>
      <c r="K25">
        <v>1</v>
      </c>
      <c r="L25">
        <v>2</v>
      </c>
      <c r="M25">
        <v>3</v>
      </c>
      <c r="N25">
        <v>4</v>
      </c>
      <c r="O25">
        <v>1</v>
      </c>
      <c r="P25">
        <v>2</v>
      </c>
      <c r="Q25">
        <v>3</v>
      </c>
      <c r="R25">
        <v>4</v>
      </c>
      <c r="S25">
        <v>1</v>
      </c>
      <c r="T25">
        <v>2</v>
      </c>
      <c r="U25">
        <v>3</v>
      </c>
      <c r="V25">
        <v>4</v>
      </c>
      <c r="AA25" s="43" t="s">
        <v>42</v>
      </c>
      <c r="AB25" s="43" t="s">
        <v>43</v>
      </c>
      <c r="AC25" s="43" t="s">
        <v>44</v>
      </c>
      <c r="AD25" s="43" t="s">
        <v>45</v>
      </c>
      <c r="AE25" s="43" t="s">
        <v>46</v>
      </c>
      <c r="AF25" s="43" t="s">
        <v>47</v>
      </c>
      <c r="AG25" s="43" t="s">
        <v>48</v>
      </c>
      <c r="AH25" s="43" t="s">
        <v>49</v>
      </c>
      <c r="AI25" s="43" t="s">
        <v>50</v>
      </c>
      <c r="AJ25" s="43" t="s">
        <v>51</v>
      </c>
      <c r="AK25" s="43" t="s">
        <v>52</v>
      </c>
      <c r="AL25" s="43" t="s">
        <v>53</v>
      </c>
      <c r="AM25" s="43" t="s">
        <v>54</v>
      </c>
      <c r="AN25" s="43" t="s">
        <v>55</v>
      </c>
      <c r="AO25" s="43" t="s">
        <v>56</v>
      </c>
      <c r="AP25" s="43" t="s">
        <v>57</v>
      </c>
      <c r="AQ25" s="43" t="s">
        <v>58</v>
      </c>
      <c r="AR25" s="43" t="s">
        <v>59</v>
      </c>
      <c r="AS25" s="43" t="s">
        <v>60</v>
      </c>
      <c r="AT25" s="43" t="s">
        <v>61</v>
      </c>
    </row>
    <row r="26" spans="1:68">
      <c r="B26" s="47" t="s">
        <v>15</v>
      </c>
      <c r="C26" s="16">
        <v>21</v>
      </c>
      <c r="D26" s="14">
        <f>C26</f>
        <v>21</v>
      </c>
      <c r="E26" s="14">
        <f t="shared" ref="E26:E42" si="0">D26</f>
        <v>21</v>
      </c>
      <c r="F26" s="14">
        <f t="shared" ref="F26:F42" si="1">E26</f>
        <v>21</v>
      </c>
      <c r="G26" s="14">
        <f t="shared" ref="G26:G42" si="2">C26*(1+$BB$2)</f>
        <v>21.974399999999999</v>
      </c>
      <c r="H26" s="14">
        <f>G26</f>
        <v>21.974399999999999</v>
      </c>
      <c r="I26" s="14">
        <f t="shared" ref="I26:I42" si="3">H26</f>
        <v>21.974399999999999</v>
      </c>
      <c r="J26" s="14">
        <f t="shared" ref="J26:J42" si="4">I26</f>
        <v>21.974399999999999</v>
      </c>
      <c r="K26" s="14">
        <f t="shared" ref="K26:K42" si="5">G26*(1+$BB$2)</f>
        <v>22.99401216</v>
      </c>
      <c r="L26" s="14">
        <f>K26</f>
        <v>22.99401216</v>
      </c>
      <c r="M26" s="14">
        <f t="shared" ref="M26:M42" si="6">L26</f>
        <v>22.99401216</v>
      </c>
      <c r="N26" s="14">
        <f t="shared" ref="N26:N42" si="7">M26</f>
        <v>22.99401216</v>
      </c>
      <c r="O26" s="14">
        <f t="shared" ref="O26:O42" si="8">K26*(1+$BB$2)</f>
        <v>24.060934324224</v>
      </c>
      <c r="P26" s="14">
        <f>O26</f>
        <v>24.060934324224</v>
      </c>
      <c r="Q26" s="14">
        <f t="shared" ref="Q26:Q42" si="9">P26</f>
        <v>24.060934324224</v>
      </c>
      <c r="R26" s="14">
        <f t="shared" ref="R26:R42" si="10">Q26</f>
        <v>24.060934324224</v>
      </c>
      <c r="S26" s="14">
        <f t="shared" ref="S26:S42" si="11">O26*(1+$BB$2)</f>
        <v>25.177361676867992</v>
      </c>
      <c r="T26" s="14">
        <f>S26</f>
        <v>25.177361676867992</v>
      </c>
      <c r="U26" s="14">
        <f t="shared" ref="U26:U42" si="12">T26</f>
        <v>25.177361676867992</v>
      </c>
      <c r="V26" s="14">
        <f>U26</f>
        <v>25.177361676867992</v>
      </c>
      <c r="Y26" s="107">
        <v>1</v>
      </c>
      <c r="Z26" s="47" t="s">
        <v>15</v>
      </c>
      <c r="AA26" s="15">
        <f>C26*'Aglis Market Share'!C4</f>
        <v>3.15</v>
      </c>
      <c r="AB26" s="15">
        <f>D26*'Aglis Market Share'!D4</f>
        <v>3.2287499999999998</v>
      </c>
      <c r="AC26" s="15">
        <f>E26*'Aglis Market Share'!E4</f>
        <v>3.3075000000000001</v>
      </c>
      <c r="AD26" s="15">
        <f>F26*'Aglis Market Share'!F4</f>
        <v>3.38625</v>
      </c>
      <c r="AE26" s="15">
        <f>G26*'Aglis Market Share'!G4</f>
        <v>3.7338776166619767</v>
      </c>
      <c r="AF26" s="15">
        <f>H26*'Aglis Market Share'!H4</f>
        <v>3.8390078327204291</v>
      </c>
      <c r="AG26" s="15">
        <f>I26*'Aglis Market Share'!I4</f>
        <v>3.9037602001688727</v>
      </c>
      <c r="AH26" s="15">
        <f>J26*'Aglis Market Share'!J4</f>
        <v>3.9887014919223218</v>
      </c>
      <c r="AI26" s="15">
        <f>K26*'Aglis Market Share'!K4</f>
        <v>4.1964072192000001</v>
      </c>
      <c r="AJ26" s="15">
        <f>L26*'Aglis Market Share'!L4</f>
        <v>4.2446946447359997</v>
      </c>
      <c r="AK26" s="15">
        <f>M26*'Aglis Market Share'!M4</f>
        <v>4.3199595997381479</v>
      </c>
      <c r="AL26" s="15">
        <f>N26*'Aglis Market Share'!N4</f>
        <v>4.3199595997381479</v>
      </c>
      <c r="AM26" s="15">
        <f>O26*'Aglis Market Share'!O4</f>
        <v>4.5204057251659977</v>
      </c>
      <c r="AN26" s="15">
        <f>P26*'Aglis Market Share'!P4</f>
        <v>4.5204057251659977</v>
      </c>
      <c r="AO26" s="15">
        <f>Q26*'Aglis Market Share'!Q4</f>
        <v>4.5204057251659977</v>
      </c>
      <c r="AP26" s="15">
        <f>R26*'Aglis Market Share'!R4</f>
        <v>4.5162373726568452</v>
      </c>
      <c r="AQ26" s="15">
        <f>S26*'Aglis Market Share'!S4</f>
        <v>4.7283085229158086</v>
      </c>
      <c r="AR26" s="15">
        <f>T26*'Aglis Market Share'!T4</f>
        <v>4.7301525508136999</v>
      </c>
      <c r="AS26" s="15">
        <f>U26*'Aglis Market Share'!U4</f>
        <v>4.7301525508136999</v>
      </c>
      <c r="AT26" s="15">
        <f>V26*'Aglis Market Share'!V4</f>
        <v>4.7301525508136999</v>
      </c>
    </row>
    <row r="27" spans="1:68">
      <c r="B27" s="47" t="s">
        <v>17</v>
      </c>
      <c r="C27" s="16">
        <f t="shared" ref="C27:C28" si="13">C5</f>
        <v>60</v>
      </c>
      <c r="D27" s="14">
        <f t="shared" ref="D27:D42" si="14">C27</f>
        <v>60</v>
      </c>
      <c r="E27" s="14">
        <f t="shared" si="0"/>
        <v>60</v>
      </c>
      <c r="F27" s="14">
        <f t="shared" si="1"/>
        <v>60</v>
      </c>
      <c r="G27" s="14">
        <f t="shared" si="2"/>
        <v>62.783999999999999</v>
      </c>
      <c r="H27" s="14">
        <f t="shared" ref="H27:H42" si="15">G27</f>
        <v>62.783999999999999</v>
      </c>
      <c r="I27" s="14">
        <f t="shared" si="3"/>
        <v>62.783999999999999</v>
      </c>
      <c r="J27" s="14">
        <f t="shared" si="4"/>
        <v>62.783999999999999</v>
      </c>
      <c r="K27" s="14">
        <f t="shared" si="5"/>
        <v>65.697177600000003</v>
      </c>
      <c r="L27" s="14">
        <f t="shared" ref="L27:L42" si="16">K27</f>
        <v>65.697177600000003</v>
      </c>
      <c r="M27" s="14">
        <f t="shared" si="6"/>
        <v>65.697177600000003</v>
      </c>
      <c r="N27" s="14">
        <f t="shared" si="7"/>
        <v>65.697177600000003</v>
      </c>
      <c r="O27" s="14">
        <f t="shared" si="8"/>
        <v>68.745526640640009</v>
      </c>
      <c r="P27" s="14">
        <f t="shared" ref="P27:P42" si="17">O27</f>
        <v>68.745526640640009</v>
      </c>
      <c r="Q27" s="14">
        <f t="shared" si="9"/>
        <v>68.745526640640009</v>
      </c>
      <c r="R27" s="14">
        <f t="shared" si="10"/>
        <v>68.745526640640009</v>
      </c>
      <c r="S27" s="14">
        <f t="shared" si="11"/>
        <v>71.935319076765708</v>
      </c>
      <c r="T27" s="14">
        <f t="shared" ref="T27:T42" si="18">S27</f>
        <v>71.935319076765708</v>
      </c>
      <c r="U27" s="14">
        <f t="shared" si="12"/>
        <v>71.935319076765708</v>
      </c>
      <c r="V27" s="14">
        <f t="shared" ref="V27:V42" si="19">U27</f>
        <v>71.935319076765708</v>
      </c>
      <c r="Y27" s="108"/>
      <c r="Z27" s="47" t="s">
        <v>17</v>
      </c>
      <c r="AA27" s="15">
        <f>C27*'Aglis Market Share'!C5</f>
        <v>12</v>
      </c>
      <c r="AB27" s="15">
        <f>D27*'Aglis Market Share'!D5</f>
        <v>12.300000000000002</v>
      </c>
      <c r="AC27" s="15">
        <f>E27*'Aglis Market Share'!E5</f>
        <v>12.600000000000003</v>
      </c>
      <c r="AD27" s="15">
        <f>F27*'Aglis Market Share'!F5</f>
        <v>12.900000000000002</v>
      </c>
      <c r="AE27" s="15">
        <f>G27*'Aglis Market Share'!G5</f>
        <v>14.224295682521817</v>
      </c>
      <c r="AF27" s="15">
        <f>H27*'Aglis Market Share'!H5</f>
        <v>14.624791743696875</v>
      </c>
      <c r="AG27" s="15">
        <f>I27*'Aglis Market Share'!I5</f>
        <v>14.871467429214754</v>
      </c>
      <c r="AH27" s="15">
        <f>J27*'Aglis Market Share'!J5</f>
        <v>15.195053302561226</v>
      </c>
      <c r="AI27" s="15">
        <f>K27*'Aglis Market Share'!K5</f>
        <v>16.038067848760068</v>
      </c>
      <c r="AJ27" s="15">
        <f>L27*'Aglis Market Share'!L5</f>
        <v>16.176031921720067</v>
      </c>
      <c r="AK27" s="15">
        <f>M27*'Aglis Market Share'!M5</f>
        <v>16.313995994680067</v>
      </c>
      <c r="AL27" s="15">
        <f>N27*'Aglis Market Share'!N5</f>
        <v>16.451960067640066</v>
      </c>
      <c r="AM27" s="15">
        <f>O27*'Aglis Market Share'!O5</f>
        <v>17.215331014778567</v>
      </c>
      <c r="AN27" s="15">
        <f>P27*'Aglis Market Share'!P5</f>
        <v>17.215331014778567</v>
      </c>
      <c r="AO27" s="15">
        <f>Q27*'Aglis Market Share'!Q5</f>
        <v>17.215331014778567</v>
      </c>
      <c r="AP27" s="15">
        <f>R27*'Aglis Market Share'!R5</f>
        <v>17.215331014778567</v>
      </c>
      <c r="AQ27" s="15">
        <f>S27*'Aglis Market Share'!S5</f>
        <v>18.014122373864293</v>
      </c>
      <c r="AR27" s="15">
        <f>T27*'Aglis Market Share'!T5</f>
        <v>18.014122373864293</v>
      </c>
      <c r="AS27" s="15">
        <f>U27*'Aglis Market Share'!U5</f>
        <v>18.129218884387114</v>
      </c>
      <c r="AT27" s="15">
        <f>V27*'Aglis Market Share'!V5</f>
        <v>18.129218884387114</v>
      </c>
    </row>
    <row r="28" spans="1:68">
      <c r="B28" s="47" t="s">
        <v>14</v>
      </c>
      <c r="C28" s="16">
        <f t="shared" si="13"/>
        <v>81.219999999999985</v>
      </c>
      <c r="D28" s="14">
        <f t="shared" si="14"/>
        <v>81.219999999999985</v>
      </c>
      <c r="E28" s="14">
        <f t="shared" si="0"/>
        <v>81.219999999999985</v>
      </c>
      <c r="F28" s="14">
        <f t="shared" si="1"/>
        <v>81.219999999999985</v>
      </c>
      <c r="G28" s="14">
        <f t="shared" si="2"/>
        <v>84.988607999999985</v>
      </c>
      <c r="H28" s="14">
        <f t="shared" si="15"/>
        <v>84.988607999999985</v>
      </c>
      <c r="I28" s="14">
        <f t="shared" si="3"/>
        <v>84.988607999999985</v>
      </c>
      <c r="J28" s="14">
        <f t="shared" si="4"/>
        <v>84.988607999999985</v>
      </c>
      <c r="K28" s="14">
        <f t="shared" si="5"/>
        <v>88.932079411199979</v>
      </c>
      <c r="L28" s="14">
        <f t="shared" si="16"/>
        <v>88.932079411199979</v>
      </c>
      <c r="M28" s="14">
        <f t="shared" si="6"/>
        <v>88.932079411199979</v>
      </c>
      <c r="N28" s="14">
        <f t="shared" si="7"/>
        <v>88.932079411199979</v>
      </c>
      <c r="O28" s="14">
        <f t="shared" si="8"/>
        <v>93.058527895879664</v>
      </c>
      <c r="P28" s="14">
        <f t="shared" si="17"/>
        <v>93.058527895879664</v>
      </c>
      <c r="Q28" s="14">
        <f t="shared" si="9"/>
        <v>93.058527895879664</v>
      </c>
      <c r="R28" s="14">
        <f t="shared" si="10"/>
        <v>93.058527895879664</v>
      </c>
      <c r="S28" s="14">
        <f t="shared" si="11"/>
        <v>97.376443590248485</v>
      </c>
      <c r="T28" s="14">
        <f t="shared" si="18"/>
        <v>97.376443590248485</v>
      </c>
      <c r="U28" s="14">
        <f t="shared" si="12"/>
        <v>97.376443590248485</v>
      </c>
      <c r="V28" s="14">
        <f t="shared" si="19"/>
        <v>97.376443590248485</v>
      </c>
      <c r="Y28" s="108"/>
      <c r="Z28" s="47" t="s">
        <v>14</v>
      </c>
      <c r="AA28" s="15">
        <f>C28*'Aglis Market Share'!C6</f>
        <v>16.243999999999996</v>
      </c>
      <c r="AB28" s="15">
        <f>D28*'Aglis Market Share'!D6</f>
        <v>16.650099999999998</v>
      </c>
      <c r="AC28" s="15">
        <f>E28*'Aglis Market Share'!E6</f>
        <v>17.0562</v>
      </c>
      <c r="AD28" s="15">
        <f>F28*'Aglis Market Share'!F6</f>
        <v>17.462299999999999</v>
      </c>
      <c r="AE28" s="15">
        <f>G28*'Aglis Market Share'!G6</f>
        <v>19.254954922240362</v>
      </c>
      <c r="AF28" s="15">
        <f>H28*'Aglis Market Share'!H6</f>
        <v>19.797093090384333</v>
      </c>
      <c r="AG28" s="15">
        <f>I28*'Aglis Market Share'!I6</f>
        <v>20.131009743347033</v>
      </c>
      <c r="AH28" s="15">
        <f>J28*'Aglis Market Share'!J6</f>
        <v>20.569037153900375</v>
      </c>
      <c r="AI28" s="15">
        <f>K28*'Aglis Market Share'!K6</f>
        <v>22.639038815631515</v>
      </c>
      <c r="AJ28" s="15">
        <f>L28*'Aglis Market Share'!L6</f>
        <v>23.111503756276832</v>
      </c>
      <c r="AK28" s="15">
        <f>M28*'Aglis Market Share'!M6</f>
        <v>23.583968696922135</v>
      </c>
      <c r="AL28" s="15">
        <f>N28*'Aglis Market Share'!N6</f>
        <v>24.056433637567448</v>
      </c>
      <c r="AM28" s="15">
        <f>O28*'Aglis Market Share'!O6</f>
        <v>26.436318226249508</v>
      </c>
      <c r="AN28" s="15">
        <f>P28*'Aglis Market Share'!P6</f>
        <v>26.945928161063847</v>
      </c>
      <c r="AO28" s="15">
        <f>Q28*'Aglis Market Share'!Q6</f>
        <v>27.455538095878175</v>
      </c>
      <c r="AP28" s="15">
        <f>R28*'Aglis Market Share'!R6</f>
        <v>27.9651480306925</v>
      </c>
      <c r="AQ28" s="15">
        <f>S28*'Aglis Market Share'!S6</f>
        <v>30.690853911882193</v>
      </c>
      <c r="AR28" s="15">
        <f>T28*'Aglis Market Share'!T6</f>
        <v>31.24052916462529</v>
      </c>
      <c r="AS28" s="15">
        <f>U28*'Aglis Market Share'!U6</f>
        <v>31.790204417368411</v>
      </c>
      <c r="AT28" s="15">
        <f>V28*'Aglis Market Share'!V6</f>
        <v>32.339879670111507</v>
      </c>
    </row>
    <row r="29" spans="1:68">
      <c r="B29" s="47" t="s">
        <v>16</v>
      </c>
      <c r="C29" s="16">
        <v>23</v>
      </c>
      <c r="D29" s="14">
        <f t="shared" si="14"/>
        <v>23</v>
      </c>
      <c r="E29" s="14">
        <f t="shared" si="0"/>
        <v>23</v>
      </c>
      <c r="F29" s="14">
        <f t="shared" si="1"/>
        <v>23</v>
      </c>
      <c r="G29" s="14">
        <f t="shared" si="2"/>
        <v>24.0672</v>
      </c>
      <c r="H29" s="14">
        <f t="shared" si="15"/>
        <v>24.0672</v>
      </c>
      <c r="I29" s="14">
        <f t="shared" si="3"/>
        <v>24.0672</v>
      </c>
      <c r="J29" s="14">
        <f t="shared" si="4"/>
        <v>24.0672</v>
      </c>
      <c r="K29" s="14">
        <f t="shared" si="5"/>
        <v>25.183918079999998</v>
      </c>
      <c r="L29" s="14">
        <f t="shared" si="16"/>
        <v>25.183918079999998</v>
      </c>
      <c r="M29" s="14">
        <f t="shared" si="6"/>
        <v>25.183918079999998</v>
      </c>
      <c r="N29" s="14">
        <f t="shared" si="7"/>
        <v>25.183918079999998</v>
      </c>
      <c r="O29" s="14">
        <f t="shared" si="8"/>
        <v>26.352451878911999</v>
      </c>
      <c r="P29" s="14">
        <f t="shared" si="17"/>
        <v>26.352451878911999</v>
      </c>
      <c r="Q29" s="14">
        <f t="shared" si="9"/>
        <v>26.352451878911999</v>
      </c>
      <c r="R29" s="14">
        <f t="shared" si="10"/>
        <v>26.352451878911999</v>
      </c>
      <c r="S29" s="14">
        <f t="shared" si="11"/>
        <v>27.575205646093515</v>
      </c>
      <c r="T29" s="14">
        <f t="shared" si="18"/>
        <v>27.575205646093515</v>
      </c>
      <c r="U29" s="14">
        <f t="shared" si="12"/>
        <v>27.575205646093515</v>
      </c>
      <c r="V29" s="14">
        <f t="shared" si="19"/>
        <v>27.575205646093515</v>
      </c>
      <c r="Y29" s="108"/>
      <c r="Z29" s="47" t="s">
        <v>16</v>
      </c>
      <c r="AA29" s="15">
        <f>C29*'Aglis Market Share'!C7</f>
        <v>3.4499999999999997</v>
      </c>
      <c r="AB29" s="15">
        <f>D29*'Aglis Market Share'!D7</f>
        <v>3.5074999999999998</v>
      </c>
      <c r="AC29" s="15">
        <f>E29*'Aglis Market Share'!E7</f>
        <v>3.5672999999999999</v>
      </c>
      <c r="AD29" s="15">
        <f>F29*'Aglis Market Share'!F7</f>
        <v>3.6178999999999997</v>
      </c>
      <c r="AE29" s="15">
        <f>G29*'Aglis Market Share'!G7</f>
        <v>3.8796326400000001</v>
      </c>
      <c r="AF29" s="15">
        <f>H29*'Aglis Market Share'!H7</f>
        <v>3.9157334400000003</v>
      </c>
      <c r="AG29" s="15">
        <f>I29*'Aglis Market Share'!I7</f>
        <v>3.9157334400000003</v>
      </c>
      <c r="AH29" s="15">
        <f>J29*'Aglis Market Share'!J7</f>
        <v>3.9373939199999999</v>
      </c>
      <c r="AI29" s="15">
        <f>K29*'Aglis Market Share'!K7</f>
        <v>4.1679384422399997</v>
      </c>
      <c r="AJ29" s="15">
        <f>L29*'Aglis Market Share'!L7</f>
        <v>4.2082327111679998</v>
      </c>
      <c r="AK29" s="15">
        <f>M29*'Aglis Market Share'!M7</f>
        <v>4.2233430620159993</v>
      </c>
      <c r="AL29" s="15">
        <f>N29*'Aglis Market Share'!N7</f>
        <v>4.2535637637119992</v>
      </c>
      <c r="AM29" s="15">
        <f>O29*'Aglis Market Share'!O7</f>
        <v>4.5062692712939523</v>
      </c>
      <c r="AN29" s="15">
        <f>P29*'Aglis Market Share'!P7</f>
        <v>4.574785646179123</v>
      </c>
      <c r="AO29" s="15">
        <f>Q29*'Aglis Market Share'!Q7</f>
        <v>4.6564782470037498</v>
      </c>
      <c r="AP29" s="15">
        <f>R29*'Aglis Market Share'!R7</f>
        <v>4.7697937900830718</v>
      </c>
      <c r="AQ29" s="15">
        <f>S29*'Aglis Market Share'!S7</f>
        <v>5.054535194928941</v>
      </c>
      <c r="AR29" s="15">
        <f>T29*'Aglis Market Share'!T7</f>
        <v>5.1924112231594091</v>
      </c>
      <c r="AS29" s="15">
        <f>U29*'Aglis Market Share'!U7</f>
        <v>5.3302872513898762</v>
      </c>
      <c r="AT29" s="15">
        <f>V29*'Aglis Market Share'!V7</f>
        <v>5.4681632796203443</v>
      </c>
    </row>
    <row r="30" spans="1:68">
      <c r="B30" s="47" t="s">
        <v>18</v>
      </c>
      <c r="C30" s="16">
        <v>5</v>
      </c>
      <c r="D30" s="14">
        <f t="shared" si="14"/>
        <v>5</v>
      </c>
      <c r="E30" s="14">
        <f t="shared" si="0"/>
        <v>5</v>
      </c>
      <c r="F30" s="14">
        <f t="shared" si="1"/>
        <v>5</v>
      </c>
      <c r="G30" s="14">
        <f t="shared" si="2"/>
        <v>5.2320000000000002</v>
      </c>
      <c r="H30" s="14">
        <f t="shared" si="15"/>
        <v>5.2320000000000002</v>
      </c>
      <c r="I30" s="14">
        <f t="shared" si="3"/>
        <v>5.2320000000000002</v>
      </c>
      <c r="J30" s="14">
        <f t="shared" si="4"/>
        <v>5.2320000000000002</v>
      </c>
      <c r="K30" s="14">
        <f t="shared" si="5"/>
        <v>5.4747648</v>
      </c>
      <c r="L30" s="14">
        <f t="shared" si="16"/>
        <v>5.4747648</v>
      </c>
      <c r="M30" s="14">
        <f t="shared" si="6"/>
        <v>5.4747648</v>
      </c>
      <c r="N30" s="14">
        <f t="shared" si="7"/>
        <v>5.4747648</v>
      </c>
      <c r="O30" s="14">
        <f t="shared" si="8"/>
        <v>5.7287938867200001</v>
      </c>
      <c r="P30" s="14">
        <f t="shared" si="17"/>
        <v>5.7287938867200001</v>
      </c>
      <c r="Q30" s="14">
        <f t="shared" si="9"/>
        <v>5.7287938867200001</v>
      </c>
      <c r="R30" s="14">
        <f t="shared" si="10"/>
        <v>5.7287938867200001</v>
      </c>
      <c r="S30" s="14">
        <f t="shared" si="11"/>
        <v>5.9946099230638081</v>
      </c>
      <c r="T30" s="14">
        <f t="shared" si="18"/>
        <v>5.9946099230638081</v>
      </c>
      <c r="U30" s="14">
        <f t="shared" si="12"/>
        <v>5.9946099230638081</v>
      </c>
      <c r="V30" s="14">
        <f t="shared" si="19"/>
        <v>5.9946099230638081</v>
      </c>
      <c r="Y30" s="109"/>
      <c r="Z30" s="47" t="s">
        <v>18</v>
      </c>
      <c r="AA30" s="15">
        <f>C30*'Aglis Market Share'!C8</f>
        <v>0.75</v>
      </c>
      <c r="AB30" s="15">
        <f>D30*'Aglis Market Share'!D8</f>
        <v>0.75</v>
      </c>
      <c r="AC30" s="15">
        <f>E30*'Aglis Market Share'!E8</f>
        <v>0.75</v>
      </c>
      <c r="AD30" s="15">
        <f>F30*'Aglis Market Share'!F8</f>
        <v>0.75</v>
      </c>
      <c r="AE30" s="15">
        <f>G30*'Aglis Market Share'!G8</f>
        <v>0.8158986663664517</v>
      </c>
      <c r="AF30" s="15">
        <f>H30*'Aglis Market Share'!H8</f>
        <v>0.84793835126045536</v>
      </c>
      <c r="AG30" s="15">
        <f>I30*'Aglis Market Share'!I8</f>
        <v>0.86767240610188523</v>
      </c>
      <c r="AH30" s="15">
        <f>J30*'Aglis Market Share'!J8</f>
        <v>0.89355927596960338</v>
      </c>
      <c r="AI30" s="15">
        <f>K30*'Aglis Market Share'!K8</f>
        <v>0.99222884798021216</v>
      </c>
      <c r="AJ30" s="15">
        <f>L30*'Aglis Market Share'!L8</f>
        <v>1.0201509326280485</v>
      </c>
      <c r="AK30" s="15">
        <f>M30*'Aglis Market Share'!M8</f>
        <v>1.048073017275889</v>
      </c>
      <c r="AL30" s="15">
        <f>N30*'Aglis Market Share'!N8</f>
        <v>1.0759951019237286</v>
      </c>
      <c r="AM30" s="15">
        <f>O30*'Aglis Market Share'!O8</f>
        <v>1.1912393889903279</v>
      </c>
      <c r="AN30" s="15">
        <f>P30*'Aglis Market Share'!P8</f>
        <v>1.2213566961450759</v>
      </c>
      <c r="AO30" s="15">
        <f>Q30*'Aglis Market Share'!Q8</f>
        <v>1.2514740032998275</v>
      </c>
      <c r="AP30" s="15">
        <f>R30*'Aglis Market Share'!R8</f>
        <v>1.2815913104545755</v>
      </c>
      <c r="AQ30" s="15">
        <f>S30*'Aglis Market Share'!S8</f>
        <v>1.4154064391076486</v>
      </c>
      <c r="AR30" s="15">
        <f>T30*'Aglis Market Share'!T8</f>
        <v>1.4478915562360286</v>
      </c>
      <c r="AS30" s="15">
        <f>U30*'Aglis Market Share'!U8</f>
        <v>1.4803766733644088</v>
      </c>
      <c r="AT30" s="15">
        <f>V30*'Aglis Market Share'!V8</f>
        <v>1.5128617904927852</v>
      </c>
    </row>
    <row r="31" spans="1:68">
      <c r="B31" s="48" t="s">
        <v>20</v>
      </c>
      <c r="C31" s="16">
        <v>4.3</v>
      </c>
      <c r="D31" s="14">
        <f t="shared" si="14"/>
        <v>4.3</v>
      </c>
      <c r="E31" s="14">
        <f t="shared" si="0"/>
        <v>4.3</v>
      </c>
      <c r="F31" s="14">
        <f t="shared" si="1"/>
        <v>4.3</v>
      </c>
      <c r="G31" s="14">
        <f t="shared" si="2"/>
        <v>4.4995199999999995</v>
      </c>
      <c r="H31" s="14">
        <f t="shared" si="15"/>
        <v>4.4995199999999995</v>
      </c>
      <c r="I31" s="14">
        <f t="shared" si="3"/>
        <v>4.4995199999999995</v>
      </c>
      <c r="J31" s="14">
        <f t="shared" si="4"/>
        <v>4.4995199999999995</v>
      </c>
      <c r="K31" s="14">
        <f t="shared" si="5"/>
        <v>4.7082977279999998</v>
      </c>
      <c r="L31" s="14">
        <f t="shared" si="16"/>
        <v>4.7082977279999998</v>
      </c>
      <c r="M31" s="14">
        <f t="shared" si="6"/>
        <v>4.7082977279999998</v>
      </c>
      <c r="N31" s="14">
        <f t="shared" si="7"/>
        <v>4.7082977279999998</v>
      </c>
      <c r="O31" s="14">
        <f t="shared" si="8"/>
        <v>4.9267627425792</v>
      </c>
      <c r="P31" s="14">
        <f t="shared" si="17"/>
        <v>4.9267627425792</v>
      </c>
      <c r="Q31" s="14">
        <f t="shared" si="9"/>
        <v>4.9267627425792</v>
      </c>
      <c r="R31" s="14">
        <f t="shared" si="10"/>
        <v>4.9267627425792</v>
      </c>
      <c r="S31" s="14">
        <f t="shared" si="11"/>
        <v>5.1553645338348746</v>
      </c>
      <c r="T31" s="14">
        <f t="shared" si="18"/>
        <v>5.1553645338348746</v>
      </c>
      <c r="U31" s="14">
        <f t="shared" si="12"/>
        <v>5.1553645338348746</v>
      </c>
      <c r="V31" s="14">
        <f t="shared" si="19"/>
        <v>5.1553645338348746</v>
      </c>
      <c r="Y31" s="107">
        <v>2</v>
      </c>
      <c r="Z31" s="48" t="s">
        <v>20</v>
      </c>
      <c r="AA31" s="15">
        <f ca="1">'Aglis Market Share'!AA31*'Total Tonnage'!AA31</f>
        <v>0</v>
      </c>
      <c r="AB31" s="15">
        <f ca="1">'Aglis Market Share'!AB31*'Total Tonnage'!AB31</f>
        <v>0</v>
      </c>
      <c r="AC31" s="15">
        <f ca="1">'Aglis Market Share'!AC31*'Total Tonnage'!AC31</f>
        <v>0</v>
      </c>
      <c r="AD31" s="15">
        <f ca="1">'Aglis Market Share'!AD31*'Total Tonnage'!AD31</f>
        <v>0</v>
      </c>
      <c r="AE31" s="15">
        <f>G31*'Aglis Market Share'!C9</f>
        <v>0.8099135999999999</v>
      </c>
      <c r="AF31" s="15">
        <f>H31*'Aglis Market Share'!D9</f>
        <v>0.82169416145454532</v>
      </c>
      <c r="AG31" s="15">
        <f>I31*'Aglis Market Share'!E9</f>
        <v>0.83347472290909086</v>
      </c>
      <c r="AH31" s="15">
        <f>J31*'Aglis Market Share'!F9</f>
        <v>0.84525528436363628</v>
      </c>
      <c r="AI31" s="15">
        <f>K31*'Aglis Market Share'!G9</f>
        <v>0.92441564219435024</v>
      </c>
      <c r="AJ31" s="15">
        <f>L31*'Aglis Market Share'!H9</f>
        <v>0.93712238641695311</v>
      </c>
      <c r="AK31" s="15">
        <f>M31*'Aglis Market Share'!I9</f>
        <v>0.94982913063955565</v>
      </c>
      <c r="AL31" s="15">
        <f>N31*'Aglis Market Share'!J9</f>
        <v>0.96253587486215875</v>
      </c>
      <c r="AM31" s="15">
        <f>O31*'Aglis Market Share'!K9</f>
        <v>1.0519157820707974</v>
      </c>
      <c r="AN31" s="15">
        <f>P31*'Aglis Market Share'!L9</f>
        <v>1.0656215251596677</v>
      </c>
      <c r="AO31" s="15">
        <f>Q31*'Aglis Market Share'!M9</f>
        <v>1.079327268248538</v>
      </c>
      <c r="AP31" s="15">
        <f>R31*'Aglis Market Share'!N9</f>
        <v>1.0930330113374083</v>
      </c>
      <c r="AQ31" s="15">
        <f>S31*'Aglis Market Share'!O9</f>
        <v>1.193750088058031</v>
      </c>
      <c r="AR31" s="15">
        <f>T31*'Aglis Market Share'!P9</f>
        <v>1.2085333708822787</v>
      </c>
      <c r="AS31" s="15">
        <f>U31*'Aglis Market Share'!Q9</f>
        <v>1.223316653706527</v>
      </c>
      <c r="AT31" s="15">
        <f>V31*'Aglis Market Share'!R9</f>
        <v>1.2380999365307752</v>
      </c>
    </row>
    <row r="32" spans="1:68">
      <c r="B32" s="48" t="s">
        <v>19</v>
      </c>
      <c r="C32" s="16">
        <v>5.7</v>
      </c>
      <c r="D32" s="14">
        <f t="shared" si="14"/>
        <v>5.7</v>
      </c>
      <c r="E32" s="14">
        <f t="shared" si="0"/>
        <v>5.7</v>
      </c>
      <c r="F32" s="14">
        <f t="shared" si="1"/>
        <v>5.7</v>
      </c>
      <c r="G32" s="14">
        <f t="shared" si="2"/>
        <v>5.96448</v>
      </c>
      <c r="H32" s="14">
        <f t="shared" si="15"/>
        <v>5.96448</v>
      </c>
      <c r="I32" s="14">
        <f t="shared" si="3"/>
        <v>5.96448</v>
      </c>
      <c r="J32" s="14">
        <f t="shared" si="4"/>
        <v>5.96448</v>
      </c>
      <c r="K32" s="14">
        <f t="shared" si="5"/>
        <v>6.2412318720000002</v>
      </c>
      <c r="L32" s="14">
        <f t="shared" si="16"/>
        <v>6.2412318720000002</v>
      </c>
      <c r="M32" s="14">
        <f t="shared" si="6"/>
        <v>6.2412318720000002</v>
      </c>
      <c r="N32" s="14">
        <f t="shared" si="7"/>
        <v>6.2412318720000002</v>
      </c>
      <c r="O32" s="14">
        <f t="shared" si="8"/>
        <v>6.5308250308608002</v>
      </c>
      <c r="P32" s="14">
        <f t="shared" si="17"/>
        <v>6.5308250308608002</v>
      </c>
      <c r="Q32" s="14">
        <f t="shared" si="9"/>
        <v>6.5308250308608002</v>
      </c>
      <c r="R32" s="14">
        <f t="shared" si="10"/>
        <v>6.5308250308608002</v>
      </c>
      <c r="S32" s="14">
        <f t="shared" si="11"/>
        <v>6.8338553122927417</v>
      </c>
      <c r="T32" s="14">
        <f t="shared" si="18"/>
        <v>6.8338553122927417</v>
      </c>
      <c r="U32" s="14">
        <f t="shared" si="12"/>
        <v>6.8338553122927417</v>
      </c>
      <c r="V32" s="14">
        <f t="shared" si="19"/>
        <v>6.8338553122927417</v>
      </c>
      <c r="Y32" s="108"/>
      <c r="Z32" s="48" t="s">
        <v>19</v>
      </c>
      <c r="AA32" s="15">
        <f ca="1">'Aglis Market Share'!AA32*'Total Tonnage'!AA32</f>
        <v>0</v>
      </c>
      <c r="AB32" s="15">
        <f ca="1">'Aglis Market Share'!AB32*'Total Tonnage'!AB32</f>
        <v>0</v>
      </c>
      <c r="AC32" s="15">
        <f ca="1">'Aglis Market Share'!AC32*'Total Tonnage'!AC32</f>
        <v>0</v>
      </c>
      <c r="AD32" s="15">
        <f ca="1">'Aglis Market Share'!AD32*'Total Tonnage'!AD32</f>
        <v>0</v>
      </c>
      <c r="AE32" s="15">
        <f>G32*'Aglis Market Share'!C10</f>
        <v>1.49112</v>
      </c>
      <c r="AF32" s="15">
        <f>H32*'Aglis Market Share'!D10</f>
        <v>1.51497792</v>
      </c>
      <c r="AG32" s="15">
        <f>I32*'Aglis Market Share'!E10</f>
        <v>1.53883584</v>
      </c>
      <c r="AH32" s="15">
        <f>J32*'Aglis Market Share'!F10</f>
        <v>1.5626937600000002</v>
      </c>
      <c r="AI32" s="15">
        <f>K32*'Aglis Market Share'!G10</f>
        <v>1.7112857032736859</v>
      </c>
      <c r="AJ32" s="15">
        <f>L32*'Aglis Market Share'!H10</f>
        <v>1.7370193228717863</v>
      </c>
      <c r="AK32" s="15">
        <f>M32*'Aglis Market Share'!I10</f>
        <v>1.7627529424698871</v>
      </c>
      <c r="AL32" s="15">
        <f>N32*'Aglis Market Share'!J10</f>
        <v>1.7884865620679873</v>
      </c>
      <c r="AM32" s="15">
        <f>O32*'Aglis Market Share'!K10</f>
        <v>1.9568534064240284</v>
      </c>
      <c r="AN32" s="15">
        <f>P32*'Aglis Market Share'!L10</f>
        <v>1.9846101923307518</v>
      </c>
      <c r="AO32" s="15">
        <f>Q32*'Aglis Market Share'!M10</f>
        <v>2.0123669782374756</v>
      </c>
      <c r="AP32" s="15">
        <f>R32*'Aglis Market Share'!N10</f>
        <v>2.0401237641441998</v>
      </c>
      <c r="AQ32" s="15">
        <f>S32*'Aglis Market Share'!O10</f>
        <v>2.230456445881341</v>
      </c>
      <c r="AR32" s="15">
        <f>T32*'Aglis Market Share'!P10</f>
        <v>2.2603954585777353</v>
      </c>
      <c r="AS32" s="15">
        <f>U32*'Aglis Market Share'!Q10</f>
        <v>2.2903344712741291</v>
      </c>
      <c r="AT32" s="15">
        <f>V32*'Aglis Market Share'!R10</f>
        <v>2.3202734839705226</v>
      </c>
    </row>
    <row r="33" spans="2:46">
      <c r="B33" s="48" t="s">
        <v>21</v>
      </c>
      <c r="C33" s="16">
        <v>3.5</v>
      </c>
      <c r="D33" s="14">
        <f t="shared" si="14"/>
        <v>3.5</v>
      </c>
      <c r="E33" s="14">
        <f t="shared" si="0"/>
        <v>3.5</v>
      </c>
      <c r="F33" s="14">
        <f t="shared" si="1"/>
        <v>3.5</v>
      </c>
      <c r="G33" s="14">
        <f t="shared" si="2"/>
        <v>3.6623999999999999</v>
      </c>
      <c r="H33" s="14">
        <f t="shared" si="15"/>
        <v>3.6623999999999999</v>
      </c>
      <c r="I33" s="14">
        <f t="shared" si="3"/>
        <v>3.6623999999999999</v>
      </c>
      <c r="J33" s="14">
        <f t="shared" si="4"/>
        <v>3.6623999999999999</v>
      </c>
      <c r="K33" s="14">
        <f t="shared" si="5"/>
        <v>3.8323353600000001</v>
      </c>
      <c r="L33" s="14">
        <f t="shared" si="16"/>
        <v>3.8323353600000001</v>
      </c>
      <c r="M33" s="14">
        <f t="shared" si="6"/>
        <v>3.8323353600000001</v>
      </c>
      <c r="N33" s="14">
        <f t="shared" si="7"/>
        <v>3.8323353600000001</v>
      </c>
      <c r="O33" s="14">
        <f t="shared" si="8"/>
        <v>4.0101557207039997</v>
      </c>
      <c r="P33" s="14">
        <f t="shared" si="17"/>
        <v>4.0101557207039997</v>
      </c>
      <c r="Q33" s="14">
        <f t="shared" si="9"/>
        <v>4.0101557207039997</v>
      </c>
      <c r="R33" s="14">
        <f t="shared" si="10"/>
        <v>4.0101557207039997</v>
      </c>
      <c r="S33" s="14">
        <f t="shared" si="11"/>
        <v>4.1962269461446651</v>
      </c>
      <c r="T33" s="14">
        <f t="shared" si="18"/>
        <v>4.1962269461446651</v>
      </c>
      <c r="U33" s="14">
        <f t="shared" si="12"/>
        <v>4.1962269461446651</v>
      </c>
      <c r="V33" s="14">
        <f t="shared" si="19"/>
        <v>4.1962269461446651</v>
      </c>
      <c r="Y33" s="108"/>
      <c r="Z33" s="48" t="s">
        <v>21</v>
      </c>
      <c r="AA33" s="15">
        <f ca="1">'Aglis Market Share'!AA33*'Total Tonnage'!AA33</f>
        <v>0</v>
      </c>
      <c r="AB33" s="15">
        <f ca="1">'Aglis Market Share'!AB33*'Total Tonnage'!AB33</f>
        <v>0</v>
      </c>
      <c r="AC33" s="15">
        <f ca="1">'Aglis Market Share'!AC33*'Total Tonnage'!AC33</f>
        <v>0</v>
      </c>
      <c r="AD33" s="15">
        <f ca="1">'Aglis Market Share'!AD33*'Total Tonnage'!AD33</f>
        <v>0</v>
      </c>
      <c r="AE33" s="15">
        <f>G33*'Aglis Market Share'!C11</f>
        <v>0.73248000000000002</v>
      </c>
      <c r="AF33" s="15">
        <f>H33*'Aglis Market Share'!D11</f>
        <v>0.74419967999999992</v>
      </c>
      <c r="AG33" s="15">
        <f>I33*'Aglis Market Share'!E11</f>
        <v>0.75591935999999993</v>
      </c>
      <c r="AH33" s="15">
        <f>J33*'Aglis Market Share'!F11</f>
        <v>0.76763904000000005</v>
      </c>
      <c r="AI33" s="15">
        <f>K33*'Aglis Market Share'!G11</f>
        <v>0.84063157353795093</v>
      </c>
      <c r="AJ33" s="15">
        <f>L33*'Aglis Market Share'!H11</f>
        <v>0.85327264983175477</v>
      </c>
      <c r="AK33" s="15">
        <f>M33*'Aglis Market Share'!I11</f>
        <v>0.8659137261255585</v>
      </c>
      <c r="AL33" s="15">
        <f>N33*'Aglis Market Share'!J11</f>
        <v>0.87855480241936224</v>
      </c>
      <c r="AM33" s="15">
        <f>O33*'Aglis Market Share'!K11</f>
        <v>0.96126132245390872</v>
      </c>
      <c r="AN33" s="15">
        <f>P33*'Aglis Market Share'!L11</f>
        <v>0.97489623482914167</v>
      </c>
      <c r="AO33" s="15">
        <f>Q33*'Aglis Market Share'!M11</f>
        <v>0.98853114720437429</v>
      </c>
      <c r="AP33" s="15">
        <f>R33*'Aglis Market Share'!N11</f>
        <v>1.0021660595796069</v>
      </c>
      <c r="AQ33" s="15">
        <f>S33*'Aglis Market Share'!O11</f>
        <v>1.0956628155206587</v>
      </c>
      <c r="AR33" s="15">
        <f>T33*'Aglis Market Share'!P11</f>
        <v>1.1103696989504666</v>
      </c>
      <c r="AS33" s="15">
        <f>U33*'Aglis Market Share'!Q11</f>
        <v>1.1250765823802737</v>
      </c>
      <c r="AT33" s="15">
        <f>V33*'Aglis Market Share'!R11</f>
        <v>1.1397834658100812</v>
      </c>
    </row>
    <row r="34" spans="2:46">
      <c r="B34" s="49" t="s">
        <v>22</v>
      </c>
      <c r="C34" s="16">
        <v>4</v>
      </c>
      <c r="D34" s="14">
        <f t="shared" si="14"/>
        <v>4</v>
      </c>
      <c r="E34" s="14">
        <f t="shared" si="0"/>
        <v>4</v>
      </c>
      <c r="F34" s="14">
        <f t="shared" si="1"/>
        <v>4</v>
      </c>
      <c r="G34" s="14">
        <f t="shared" si="2"/>
        <v>4.1856</v>
      </c>
      <c r="H34" s="14">
        <f t="shared" si="15"/>
        <v>4.1856</v>
      </c>
      <c r="I34" s="14">
        <f t="shared" si="3"/>
        <v>4.1856</v>
      </c>
      <c r="J34" s="14">
        <f t="shared" si="4"/>
        <v>4.1856</v>
      </c>
      <c r="K34" s="14">
        <f t="shared" si="5"/>
        <v>4.3798118400000003</v>
      </c>
      <c r="L34" s="14">
        <f t="shared" si="16"/>
        <v>4.3798118400000003</v>
      </c>
      <c r="M34" s="14">
        <f t="shared" si="6"/>
        <v>4.3798118400000003</v>
      </c>
      <c r="N34" s="14">
        <f t="shared" si="7"/>
        <v>4.3798118400000003</v>
      </c>
      <c r="O34" s="14">
        <f t="shared" si="8"/>
        <v>4.5830351093760004</v>
      </c>
      <c r="P34" s="14">
        <f t="shared" si="17"/>
        <v>4.5830351093760004</v>
      </c>
      <c r="Q34" s="14">
        <f t="shared" si="9"/>
        <v>4.5830351093760004</v>
      </c>
      <c r="R34" s="14">
        <f t="shared" si="10"/>
        <v>4.5830351093760004</v>
      </c>
      <c r="S34" s="14">
        <f t="shared" si="11"/>
        <v>4.7956879384510467</v>
      </c>
      <c r="T34" s="14">
        <f t="shared" si="18"/>
        <v>4.7956879384510467</v>
      </c>
      <c r="U34" s="14">
        <f t="shared" si="12"/>
        <v>4.7956879384510467</v>
      </c>
      <c r="V34" s="14">
        <f t="shared" si="19"/>
        <v>4.7956879384510467</v>
      </c>
      <c r="Y34" s="109"/>
      <c r="Z34" s="49" t="s">
        <v>22</v>
      </c>
      <c r="AA34" s="15">
        <f ca="1">'Aglis Market Share'!AA34*'Total Tonnage'!AA34</f>
        <v>0</v>
      </c>
      <c r="AB34" s="15">
        <f ca="1">'Aglis Market Share'!AB34*'Total Tonnage'!AB34</f>
        <v>0</v>
      </c>
      <c r="AC34" s="15">
        <f ca="1">'Aglis Market Share'!AC34*'Total Tonnage'!AC34</f>
        <v>0</v>
      </c>
      <c r="AD34" s="15">
        <f ca="1">'Aglis Market Share'!AD34*'Total Tonnage'!AD34</f>
        <v>0</v>
      </c>
      <c r="AE34" s="15">
        <f>G34*'Aglis Market Share'!C12</f>
        <v>0.41856000000000004</v>
      </c>
      <c r="AF34" s="15">
        <f>H34*'Aglis Market Share'!D12</f>
        <v>0.42600106666666671</v>
      </c>
      <c r="AG34" s="15">
        <f>I34*'Aglis Market Share'!E12</f>
        <v>0.43344213333333337</v>
      </c>
      <c r="AH34" s="15">
        <f>J34*'Aglis Market Share'!F12</f>
        <v>0.44088320000000014</v>
      </c>
      <c r="AI34" s="15">
        <f>K34*'Aglis Market Share'!G12</f>
        <v>0.4835713312391603</v>
      </c>
      <c r="AJ34" s="15">
        <f>L34*'Aglis Market Share'!H12</f>
        <v>0.49159741142570246</v>
      </c>
      <c r="AK34" s="15">
        <f>M34*'Aglis Market Share'!I12</f>
        <v>0.49962349161224462</v>
      </c>
      <c r="AL34" s="15">
        <f>N34*'Aglis Market Share'!J12</f>
        <v>0.50764957179878645</v>
      </c>
      <c r="AM34" s="15">
        <f>O34*'Aglis Market Share'!K12</f>
        <v>0.55621785403727242</v>
      </c>
      <c r="AN34" s="15">
        <f>P34*'Aglis Market Share'!L12</f>
        <v>0.56487494125964244</v>
      </c>
      <c r="AO34" s="15">
        <f>Q34*'Aglis Market Share'!M12</f>
        <v>0.57353202848201235</v>
      </c>
      <c r="AP34" s="15">
        <f>R34*'Aglis Market Share'!N12</f>
        <v>0.58218911570438248</v>
      </c>
      <c r="AQ34" s="15">
        <f>S34*'Aglis Market Share'!O12</f>
        <v>0.63729828195832494</v>
      </c>
      <c r="AR34" s="15">
        <f>T34*'Aglis Market Share'!P12</f>
        <v>0.64663598572328229</v>
      </c>
      <c r="AS34" s="15">
        <f>U34*'Aglis Market Share'!Q12</f>
        <v>0.65597368948823942</v>
      </c>
      <c r="AT34" s="15">
        <f>V34*'Aglis Market Share'!R12</f>
        <v>0.66531139325319655</v>
      </c>
    </row>
    <row r="35" spans="2:46">
      <c r="B35" s="50" t="s">
        <v>24</v>
      </c>
      <c r="C35" s="16">
        <v>6.2</v>
      </c>
      <c r="D35" s="14">
        <f t="shared" si="14"/>
        <v>6.2</v>
      </c>
      <c r="E35" s="14">
        <f t="shared" si="0"/>
        <v>6.2</v>
      </c>
      <c r="F35" s="14">
        <f t="shared" si="1"/>
        <v>6.2</v>
      </c>
      <c r="G35" s="14">
        <f t="shared" si="2"/>
        <v>6.4876800000000001</v>
      </c>
      <c r="H35" s="14">
        <f t="shared" si="15"/>
        <v>6.4876800000000001</v>
      </c>
      <c r="I35" s="14">
        <f t="shared" si="3"/>
        <v>6.4876800000000001</v>
      </c>
      <c r="J35" s="14">
        <f t="shared" si="4"/>
        <v>6.4876800000000001</v>
      </c>
      <c r="K35" s="14">
        <f t="shared" si="5"/>
        <v>6.7887083520000004</v>
      </c>
      <c r="L35" s="14">
        <f t="shared" si="16"/>
        <v>6.7887083520000004</v>
      </c>
      <c r="M35" s="14">
        <f t="shared" si="6"/>
        <v>6.7887083520000004</v>
      </c>
      <c r="N35" s="14">
        <f t="shared" si="7"/>
        <v>6.7887083520000004</v>
      </c>
      <c r="O35" s="14">
        <f t="shared" si="8"/>
        <v>7.1037044195328001</v>
      </c>
      <c r="P35" s="14">
        <f t="shared" si="17"/>
        <v>7.1037044195328001</v>
      </c>
      <c r="Q35" s="14">
        <f t="shared" si="9"/>
        <v>7.1037044195328001</v>
      </c>
      <c r="R35" s="14">
        <f t="shared" si="10"/>
        <v>7.1037044195328001</v>
      </c>
      <c r="S35" s="14">
        <f t="shared" si="11"/>
        <v>7.4333163045991224</v>
      </c>
      <c r="T35" s="14">
        <f t="shared" si="18"/>
        <v>7.4333163045991224</v>
      </c>
      <c r="U35" s="14">
        <f t="shared" si="12"/>
        <v>7.4333163045991224</v>
      </c>
      <c r="V35" s="14">
        <f t="shared" si="19"/>
        <v>7.4333163045991224</v>
      </c>
      <c r="Y35" s="107">
        <v>3</v>
      </c>
      <c r="Z35" s="50" t="s">
        <v>24</v>
      </c>
      <c r="AA35" s="15">
        <f ca="1">'Aglis Market Share'!AA35*'Total Tonnage'!AA35</f>
        <v>0</v>
      </c>
      <c r="AB35" s="15">
        <f ca="1">'Aglis Market Share'!AB35*'Total Tonnage'!AB35</f>
        <v>0</v>
      </c>
      <c r="AC35" s="15">
        <f ca="1">'Aglis Market Share'!AC35*'Total Tonnage'!AC35</f>
        <v>0</v>
      </c>
      <c r="AD35" s="15">
        <f ca="1">'Aglis Market Share'!AD35*'Total Tonnage'!AD35</f>
        <v>0</v>
      </c>
      <c r="AE35" s="15">
        <f ca="1">'Aglis Market Share'!AE35*'Total Tonnage'!AE35</f>
        <v>0</v>
      </c>
      <c r="AF35" s="15">
        <f ca="1">'Aglis Market Share'!AF35*'Total Tonnage'!AF35</f>
        <v>0</v>
      </c>
      <c r="AG35" s="15">
        <f ca="1">'Aglis Market Share'!AG35*'Total Tonnage'!AG35</f>
        <v>0</v>
      </c>
      <c r="AH35" s="15">
        <f ca="1">'Aglis Market Share'!AH35*'Total Tonnage'!AH35</f>
        <v>0</v>
      </c>
      <c r="AI35" s="15">
        <f>K35*'Aglis Market Share'!K13</f>
        <v>1.0183062528</v>
      </c>
      <c r="AJ35" s="15">
        <f>L35*'Aglis Market Share'!L13</f>
        <v>1.0407089903616</v>
      </c>
      <c r="AK35" s="15">
        <f>M35*'Aglis Market Share'!M13</f>
        <v>1.0631117279232001</v>
      </c>
      <c r="AL35" s="15">
        <f>N35*'Aglis Market Share'!N13</f>
        <v>1.0855144654847999</v>
      </c>
      <c r="AM35" s="15">
        <f>O35*'Aglis Market Share'!O13</f>
        <v>1.159324561267753</v>
      </c>
      <c r="AN35" s="15">
        <f>P35*'Aglis Market Share'!P13</f>
        <v>1.1827667858522111</v>
      </c>
      <c r="AO35" s="15">
        <f>Q35*'Aglis Market Share'!Q13</f>
        <v>1.2062090104366694</v>
      </c>
      <c r="AP35" s="15">
        <f>R35*'Aglis Market Share'!R13</f>
        <v>1.2296512350211275</v>
      </c>
      <c r="AQ35" s="15">
        <f>S35*'Aglis Market Share'!S13</f>
        <v>1.3112369961312851</v>
      </c>
      <c r="AR35" s="15">
        <f>T35*'Aglis Market Share'!T13</f>
        <v>1.335766939936462</v>
      </c>
      <c r="AS35" s="15">
        <f>U35*'Aglis Market Share'!U13</f>
        <v>1.3602968837416392</v>
      </c>
      <c r="AT35" s="15">
        <f>V35*'Aglis Market Share'!V13</f>
        <v>1.3848268275468163</v>
      </c>
    </row>
    <row r="36" spans="2:46">
      <c r="B36" s="50" t="s">
        <v>25</v>
      </c>
      <c r="C36" s="16">
        <v>14</v>
      </c>
      <c r="D36" s="14">
        <f t="shared" si="14"/>
        <v>14</v>
      </c>
      <c r="E36" s="14">
        <f t="shared" si="0"/>
        <v>14</v>
      </c>
      <c r="F36" s="14">
        <f t="shared" si="1"/>
        <v>14</v>
      </c>
      <c r="G36" s="14">
        <f t="shared" si="2"/>
        <v>14.6496</v>
      </c>
      <c r="H36" s="14">
        <f t="shared" si="15"/>
        <v>14.6496</v>
      </c>
      <c r="I36" s="14">
        <f t="shared" si="3"/>
        <v>14.6496</v>
      </c>
      <c r="J36" s="14">
        <f t="shared" si="4"/>
        <v>14.6496</v>
      </c>
      <c r="K36" s="14">
        <f t="shared" si="5"/>
        <v>15.32934144</v>
      </c>
      <c r="L36" s="14">
        <f t="shared" si="16"/>
        <v>15.32934144</v>
      </c>
      <c r="M36" s="14">
        <f t="shared" si="6"/>
        <v>15.32934144</v>
      </c>
      <c r="N36" s="14">
        <f t="shared" si="7"/>
        <v>15.32934144</v>
      </c>
      <c r="O36" s="14">
        <f t="shared" si="8"/>
        <v>16.040622882815999</v>
      </c>
      <c r="P36" s="14">
        <f t="shared" si="17"/>
        <v>16.040622882815999</v>
      </c>
      <c r="Q36" s="14">
        <f t="shared" si="9"/>
        <v>16.040622882815999</v>
      </c>
      <c r="R36" s="14">
        <f t="shared" si="10"/>
        <v>16.040622882815999</v>
      </c>
      <c r="S36" s="14">
        <f t="shared" si="11"/>
        <v>16.78490778457866</v>
      </c>
      <c r="T36" s="14">
        <f t="shared" si="18"/>
        <v>16.78490778457866</v>
      </c>
      <c r="U36" s="14">
        <f t="shared" si="12"/>
        <v>16.78490778457866</v>
      </c>
      <c r="V36" s="14">
        <f t="shared" si="19"/>
        <v>16.78490778457866</v>
      </c>
      <c r="Y36" s="108"/>
      <c r="Z36" s="50" t="s">
        <v>25</v>
      </c>
      <c r="AA36" s="15">
        <f ca="1">'Aglis Market Share'!AA36*'Total Tonnage'!AA36</f>
        <v>0</v>
      </c>
      <c r="AB36" s="15">
        <f ca="1">'Aglis Market Share'!AB36*'Total Tonnage'!AB36</f>
        <v>0</v>
      </c>
      <c r="AC36" s="15">
        <f ca="1">'Aglis Market Share'!AC36*'Total Tonnage'!AC36</f>
        <v>0</v>
      </c>
      <c r="AD36" s="15">
        <f ca="1">'Aglis Market Share'!AD36*'Total Tonnage'!AD36</f>
        <v>0</v>
      </c>
      <c r="AE36" s="15">
        <f ca="1">'Aglis Market Share'!AE36*'Total Tonnage'!AE36</f>
        <v>0</v>
      </c>
      <c r="AF36" s="15">
        <f ca="1">'Aglis Market Share'!AF36*'Total Tonnage'!AF36</f>
        <v>0</v>
      </c>
      <c r="AG36" s="15">
        <f ca="1">'Aglis Market Share'!AG36*'Total Tonnage'!AG36</f>
        <v>0</v>
      </c>
      <c r="AH36" s="15">
        <f ca="1">'Aglis Market Share'!AH36*'Total Tonnage'!AH36</f>
        <v>0</v>
      </c>
      <c r="AI36" s="15">
        <f>K36*'Aglis Market Share'!K14</f>
        <v>5.8251497472000011</v>
      </c>
      <c r="AJ36" s="15">
        <f>L36*'Aglis Market Share'!L14</f>
        <v>5.9033293885440008</v>
      </c>
      <c r="AK36" s="15">
        <f>M36*'Aglis Market Share'!M14</f>
        <v>5.9815090298880005</v>
      </c>
      <c r="AL36" s="15">
        <f>N36*'Aglis Market Share'!N14</f>
        <v>6.0596886712320011</v>
      </c>
      <c r="AM36" s="15">
        <f>O36*'Aglis Market Share'!O14</f>
        <v>6.4226654022795264</v>
      </c>
      <c r="AN36" s="15">
        <f>P36*'Aglis Market Share'!P14</f>
        <v>6.504472578981888</v>
      </c>
      <c r="AO36" s="15">
        <f>Q36*'Aglis Market Share'!Q14</f>
        <v>6.5862797556842496</v>
      </c>
      <c r="AP36" s="15">
        <f>R36*'Aglis Market Share'!R14</f>
        <v>6.6680869323866112</v>
      </c>
      <c r="AQ36" s="15">
        <f>S36*'Aglis Market Share'!S14</f>
        <v>7.0614107049722428</v>
      </c>
      <c r="AR36" s="15">
        <f>T36*'Aglis Market Share'!T14</f>
        <v>7.1453352438951363</v>
      </c>
      <c r="AS36" s="15">
        <f>U36*'Aglis Market Share'!U14</f>
        <v>7.2292597828180298</v>
      </c>
      <c r="AT36" s="15">
        <f>V36*'Aglis Market Share'!V14</f>
        <v>7.3131843217409225</v>
      </c>
    </row>
    <row r="37" spans="2:46">
      <c r="B37" s="50" t="s">
        <v>26</v>
      </c>
      <c r="C37" s="16">
        <v>14.2</v>
      </c>
      <c r="D37" s="14">
        <f t="shared" si="14"/>
        <v>14.2</v>
      </c>
      <c r="E37" s="14">
        <f t="shared" si="0"/>
        <v>14.2</v>
      </c>
      <c r="F37" s="14">
        <f t="shared" si="1"/>
        <v>14.2</v>
      </c>
      <c r="G37" s="14">
        <f t="shared" si="2"/>
        <v>14.858879999999999</v>
      </c>
      <c r="H37" s="14">
        <f t="shared" si="15"/>
        <v>14.858879999999999</v>
      </c>
      <c r="I37" s="14">
        <f t="shared" si="3"/>
        <v>14.858879999999999</v>
      </c>
      <c r="J37" s="14">
        <f t="shared" si="4"/>
        <v>14.858879999999999</v>
      </c>
      <c r="K37" s="14">
        <f t="shared" si="5"/>
        <v>15.548332031999999</v>
      </c>
      <c r="L37" s="14">
        <f t="shared" si="16"/>
        <v>15.548332031999999</v>
      </c>
      <c r="M37" s="14">
        <f t="shared" si="6"/>
        <v>15.548332031999999</v>
      </c>
      <c r="N37" s="14">
        <f t="shared" si="7"/>
        <v>15.548332031999999</v>
      </c>
      <c r="O37" s="14">
        <f t="shared" si="8"/>
        <v>16.269774638284801</v>
      </c>
      <c r="P37" s="14">
        <f t="shared" si="17"/>
        <v>16.269774638284801</v>
      </c>
      <c r="Q37" s="14">
        <f t="shared" si="9"/>
        <v>16.269774638284801</v>
      </c>
      <c r="R37" s="14">
        <f t="shared" si="10"/>
        <v>16.269774638284801</v>
      </c>
      <c r="S37" s="14">
        <f t="shared" si="11"/>
        <v>17.024692181501216</v>
      </c>
      <c r="T37" s="14">
        <f t="shared" si="18"/>
        <v>17.024692181501216</v>
      </c>
      <c r="U37" s="14">
        <f t="shared" si="12"/>
        <v>17.024692181501216</v>
      </c>
      <c r="V37" s="14">
        <f t="shared" si="19"/>
        <v>17.024692181501216</v>
      </c>
      <c r="Y37" s="108"/>
      <c r="Z37" s="50" t="s">
        <v>26</v>
      </c>
      <c r="AA37" s="15">
        <f ca="1">'Aglis Market Share'!AA37*'Total Tonnage'!AA37</f>
        <v>0</v>
      </c>
      <c r="AB37" s="15">
        <f ca="1">'Aglis Market Share'!AB37*'Total Tonnage'!AB37</f>
        <v>0</v>
      </c>
      <c r="AC37" s="15">
        <f ca="1">'Aglis Market Share'!AC37*'Total Tonnage'!AC37</f>
        <v>0</v>
      </c>
      <c r="AD37" s="15">
        <f ca="1">'Aglis Market Share'!AD37*'Total Tonnage'!AD37</f>
        <v>0</v>
      </c>
      <c r="AE37" s="15">
        <f ca="1">'Aglis Market Share'!AE37*'Total Tonnage'!AE37</f>
        <v>0</v>
      </c>
      <c r="AF37" s="15">
        <f ca="1">'Aglis Market Share'!AF37*'Total Tonnage'!AF37</f>
        <v>0</v>
      </c>
      <c r="AG37" s="15">
        <f ca="1">'Aglis Market Share'!AG37*'Total Tonnage'!AG37</f>
        <v>0</v>
      </c>
      <c r="AH37" s="15">
        <f ca="1">'Aglis Market Share'!AH37*'Total Tonnage'!AH37</f>
        <v>0</v>
      </c>
      <c r="AI37" s="15">
        <f>K37*'Aglis Market Share'!K15</f>
        <v>5.9083661721600009</v>
      </c>
      <c r="AJ37" s="15">
        <f>L37*'Aglis Market Share'!L15</f>
        <v>5.9876626655232004</v>
      </c>
      <c r="AK37" s="15">
        <f>M37*'Aglis Market Share'!M15</f>
        <v>6.0669591588864007</v>
      </c>
      <c r="AL37" s="15">
        <f>N37*'Aglis Market Share'!N15</f>
        <v>6.1462556522496001</v>
      </c>
      <c r="AM37" s="15">
        <f>O37*'Aglis Market Share'!O15</f>
        <v>6.5144177651692345</v>
      </c>
      <c r="AN37" s="15">
        <f>P37*'Aglis Market Share'!P15</f>
        <v>6.5973936158244868</v>
      </c>
      <c r="AO37" s="15">
        <f>Q37*'Aglis Market Share'!Q15</f>
        <v>6.6803694664797399</v>
      </c>
      <c r="AP37" s="15">
        <f>R37*'Aglis Market Share'!R15</f>
        <v>6.7633453171349922</v>
      </c>
      <c r="AQ37" s="15">
        <f>S37*'Aglis Market Share'!S15</f>
        <v>7.1622880007575622</v>
      </c>
      <c r="AR37" s="15">
        <f>T37*'Aglis Market Share'!T15</f>
        <v>7.2474114616650676</v>
      </c>
      <c r="AS37" s="15">
        <f>U37*'Aglis Market Share'!U15</f>
        <v>7.3325349225725738</v>
      </c>
      <c r="AT37" s="15">
        <f>V37*'Aglis Market Share'!V15</f>
        <v>7.41765838348008</v>
      </c>
    </row>
    <row r="38" spans="2:46">
      <c r="B38" s="50" t="s">
        <v>28</v>
      </c>
      <c r="C38" s="16">
        <v>12.5</v>
      </c>
      <c r="D38" s="14">
        <f t="shared" si="14"/>
        <v>12.5</v>
      </c>
      <c r="E38" s="14">
        <f t="shared" si="0"/>
        <v>12.5</v>
      </c>
      <c r="F38" s="14">
        <f t="shared" si="1"/>
        <v>12.5</v>
      </c>
      <c r="G38" s="14">
        <f t="shared" si="2"/>
        <v>13.08</v>
      </c>
      <c r="H38" s="14">
        <f t="shared" si="15"/>
        <v>13.08</v>
      </c>
      <c r="I38" s="14">
        <f t="shared" si="3"/>
        <v>13.08</v>
      </c>
      <c r="J38" s="14">
        <f t="shared" si="4"/>
        <v>13.08</v>
      </c>
      <c r="K38" s="14">
        <f t="shared" si="5"/>
        <v>13.686912</v>
      </c>
      <c r="L38" s="14">
        <f t="shared" si="16"/>
        <v>13.686912</v>
      </c>
      <c r="M38" s="14">
        <f t="shared" si="6"/>
        <v>13.686912</v>
      </c>
      <c r="N38" s="14">
        <f t="shared" si="7"/>
        <v>13.686912</v>
      </c>
      <c r="O38" s="14">
        <f t="shared" si="8"/>
        <v>14.321984716799999</v>
      </c>
      <c r="P38" s="14">
        <f t="shared" si="17"/>
        <v>14.321984716799999</v>
      </c>
      <c r="Q38" s="14">
        <f t="shared" si="9"/>
        <v>14.321984716799999</v>
      </c>
      <c r="R38" s="14">
        <f t="shared" si="10"/>
        <v>14.321984716799999</v>
      </c>
      <c r="S38" s="14">
        <f t="shared" si="11"/>
        <v>14.986524807659519</v>
      </c>
      <c r="T38" s="14">
        <f t="shared" si="18"/>
        <v>14.986524807659519</v>
      </c>
      <c r="U38" s="14">
        <f t="shared" si="12"/>
        <v>14.986524807659519</v>
      </c>
      <c r="V38" s="14">
        <f t="shared" si="19"/>
        <v>14.986524807659519</v>
      </c>
      <c r="Y38" s="109"/>
      <c r="Z38" s="50" t="s">
        <v>28</v>
      </c>
      <c r="AA38" s="15">
        <f ca="1">'Aglis Market Share'!AA38*'Total Tonnage'!AA38</f>
        <v>0</v>
      </c>
      <c r="AB38" s="15">
        <f ca="1">'Aglis Market Share'!AB38*'Total Tonnage'!AB38</f>
        <v>0</v>
      </c>
      <c r="AC38" s="15">
        <f ca="1">'Aglis Market Share'!AC38*'Total Tonnage'!AC38</f>
        <v>0</v>
      </c>
      <c r="AD38" s="15">
        <f ca="1">'Aglis Market Share'!AD38*'Total Tonnage'!AD38</f>
        <v>0</v>
      </c>
      <c r="AE38" s="15">
        <f ca="1">'Aglis Market Share'!AE38*'Total Tonnage'!AE38</f>
        <v>0</v>
      </c>
      <c r="AF38" s="15">
        <f ca="1">'Aglis Market Share'!AF38*'Total Tonnage'!AF38</f>
        <v>0</v>
      </c>
      <c r="AG38" s="15">
        <f ca="1">'Aglis Market Share'!AG38*'Total Tonnage'!AG38</f>
        <v>0</v>
      </c>
      <c r="AH38" s="15">
        <f ca="1">'Aglis Market Share'!AH38*'Total Tonnage'!AH38</f>
        <v>0</v>
      </c>
      <c r="AI38" s="15">
        <f>K38*'Aglis Market Share'!K16</f>
        <v>1.2318220799999999</v>
      </c>
      <c r="AJ38" s="15">
        <f>L38*'Aglis Market Share'!L16</f>
        <v>1.2512879103999992</v>
      </c>
      <c r="AK38" s="15">
        <f>M38*'Aglis Market Share'!M16</f>
        <v>1.2707537407999991</v>
      </c>
      <c r="AL38" s="15">
        <f>N38*'Aglis Market Share'!N16</f>
        <v>1.2902195711999991</v>
      </c>
      <c r="AM38" s="15">
        <f>O38*'Aglis Market Share'!O16</f>
        <v>1.4082424496896424</v>
      </c>
      <c r="AN38" s="15">
        <f>P38*'Aglis Market Share'!P16</f>
        <v>1.4292386754576365</v>
      </c>
      <c r="AO38" s="15">
        <f>Q38*'Aglis Market Share'!Q16</f>
        <v>1.4502349012256304</v>
      </c>
      <c r="AP38" s="15">
        <f>R38*'Aglis Market Share'!R16</f>
        <v>1.4712311269936247</v>
      </c>
      <c r="AQ38" s="15">
        <f>S38*'Aglis Market Share'!S16</f>
        <v>1.6049311542380988</v>
      </c>
      <c r="AR38" s="15">
        <f>T38*'Aglis Market Share'!T16</f>
        <v>1.6275780944118188</v>
      </c>
      <c r="AS38" s="15">
        <f>U38*'Aglis Market Share'!U16</f>
        <v>1.6502250345855387</v>
      </c>
      <c r="AT38" s="15">
        <f>V38*'Aglis Market Share'!V16</f>
        <v>1.6728719747592586</v>
      </c>
    </row>
    <row r="39" spans="2:46">
      <c r="B39" s="51" t="s">
        <v>30</v>
      </c>
      <c r="C39" s="16">
        <v>5.0999999999999996</v>
      </c>
      <c r="D39" s="14">
        <f t="shared" si="14"/>
        <v>5.0999999999999996</v>
      </c>
      <c r="E39" s="14">
        <f t="shared" si="0"/>
        <v>5.0999999999999996</v>
      </c>
      <c r="F39" s="14">
        <f t="shared" si="1"/>
        <v>5.0999999999999996</v>
      </c>
      <c r="G39" s="14">
        <f t="shared" si="2"/>
        <v>5.3366400000000001</v>
      </c>
      <c r="H39" s="14">
        <f>G39</f>
        <v>5.3366400000000001</v>
      </c>
      <c r="I39" s="14">
        <f t="shared" si="3"/>
        <v>5.3366400000000001</v>
      </c>
      <c r="J39" s="14">
        <f t="shared" si="4"/>
        <v>5.3366400000000001</v>
      </c>
      <c r="K39" s="14">
        <f t="shared" si="5"/>
        <v>5.5842600960000004</v>
      </c>
      <c r="L39" s="14">
        <f t="shared" si="16"/>
        <v>5.5842600960000004</v>
      </c>
      <c r="M39" s="14">
        <f t="shared" si="6"/>
        <v>5.5842600960000004</v>
      </c>
      <c r="N39" s="14">
        <f t="shared" si="7"/>
        <v>5.5842600960000004</v>
      </c>
      <c r="O39" s="14">
        <f t="shared" si="8"/>
        <v>5.8433697644544003</v>
      </c>
      <c r="P39" s="14">
        <f t="shared" si="17"/>
        <v>5.8433697644544003</v>
      </c>
      <c r="Q39" s="14">
        <f t="shared" si="9"/>
        <v>5.8433697644544003</v>
      </c>
      <c r="R39" s="14">
        <f t="shared" si="10"/>
        <v>5.8433697644544003</v>
      </c>
      <c r="S39" s="14">
        <f t="shared" si="11"/>
        <v>6.1145021215250841</v>
      </c>
      <c r="T39" s="14">
        <f t="shared" si="18"/>
        <v>6.1145021215250841</v>
      </c>
      <c r="U39" s="14">
        <f t="shared" si="12"/>
        <v>6.1145021215250841</v>
      </c>
      <c r="V39" s="14">
        <f t="shared" si="19"/>
        <v>6.1145021215250841</v>
      </c>
      <c r="Y39" s="107">
        <v>4</v>
      </c>
      <c r="Z39" s="51" t="s">
        <v>30</v>
      </c>
      <c r="AA39" s="15">
        <f ca="1">'Aglis Market Share'!AA39*'Total Tonnage'!AA39</f>
        <v>0</v>
      </c>
      <c r="AB39" s="15">
        <f ca="1">'Aglis Market Share'!AB39*'Total Tonnage'!AB39</f>
        <v>0</v>
      </c>
      <c r="AC39" s="15">
        <f ca="1">'Aglis Market Share'!AC39*'Total Tonnage'!AC39</f>
        <v>0</v>
      </c>
      <c r="AD39" s="15">
        <f ca="1">'Aglis Market Share'!AD39*'Total Tonnage'!AD39</f>
        <v>0</v>
      </c>
      <c r="AE39" s="15">
        <f ca="1">'Aglis Market Share'!AE39*'Total Tonnage'!AE39</f>
        <v>0</v>
      </c>
      <c r="AF39" s="15">
        <f ca="1">'Aglis Market Share'!AF39*'Total Tonnage'!AF39</f>
        <v>0</v>
      </c>
      <c r="AG39" s="15">
        <f ca="1">'Aglis Market Share'!AG39*'Total Tonnage'!AG39</f>
        <v>0</v>
      </c>
      <c r="AH39" s="15">
        <f ca="1">'Aglis Market Share'!AH39*'Total Tonnage'!AH39</f>
        <v>0</v>
      </c>
      <c r="AI39" s="15">
        <f ca="1">'Aglis Market Share'!AI39*'Total Tonnage'!AI39</f>
        <v>0</v>
      </c>
      <c r="AJ39" s="15">
        <f ca="1">'Aglis Market Share'!AJ39*'Total Tonnage'!AJ39</f>
        <v>0</v>
      </c>
      <c r="AK39" s="15">
        <f ca="1">'Aglis Market Share'!AK39*'Total Tonnage'!AK39</f>
        <v>0</v>
      </c>
      <c r="AL39" s="15">
        <f ca="1">'Aglis Market Share'!AL39*'Total Tonnage'!AL39</f>
        <v>0</v>
      </c>
      <c r="AM39" s="15">
        <f>O39*'Aglis Market Share'!O17</f>
        <v>1.7530109293363201</v>
      </c>
      <c r="AN39" s="15">
        <f>P39*'Aglis Market Share'!P17</f>
        <v>1.7735694934818187</v>
      </c>
      <c r="AO39" s="15">
        <f>Q39*'Aglis Market Share'!Q17</f>
        <v>1.7951326484177674</v>
      </c>
      <c r="AP39" s="15">
        <f>R39*'Aglis Market Share'!R17</f>
        <v>1.8166958033537171</v>
      </c>
      <c r="AQ39" s="15">
        <f>S39*'Aglis Market Share'!S17</f>
        <v>1.9156652937209897</v>
      </c>
      <c r="AR39" s="15">
        <f>T39*'Aglis Market Share'!T17</f>
        <v>1.93034009881265</v>
      </c>
      <c r="AS39" s="15">
        <f>U39*'Aglis Market Share'!U17</f>
        <v>1.9450149039043103</v>
      </c>
      <c r="AT39" s="15">
        <f>V39*'Aglis Market Share'!V17</f>
        <v>1.9596897089959704</v>
      </c>
    </row>
    <row r="40" spans="2:46">
      <c r="B40" s="52" t="s">
        <v>31</v>
      </c>
      <c r="C40" s="16">
        <v>3</v>
      </c>
      <c r="D40" s="14">
        <f t="shared" si="14"/>
        <v>3</v>
      </c>
      <c r="E40" s="14">
        <f t="shared" si="0"/>
        <v>3</v>
      </c>
      <c r="F40" s="14">
        <f t="shared" si="1"/>
        <v>3</v>
      </c>
      <c r="G40" s="14">
        <f t="shared" si="2"/>
        <v>3.1391999999999998</v>
      </c>
      <c r="H40" s="14">
        <f t="shared" si="15"/>
        <v>3.1391999999999998</v>
      </c>
      <c r="I40" s="14">
        <f t="shared" si="3"/>
        <v>3.1391999999999998</v>
      </c>
      <c r="J40" s="14">
        <f t="shared" si="4"/>
        <v>3.1391999999999998</v>
      </c>
      <c r="K40" s="14">
        <f t="shared" si="5"/>
        <v>3.2848588799999998</v>
      </c>
      <c r="L40" s="14">
        <f t="shared" si="16"/>
        <v>3.2848588799999998</v>
      </c>
      <c r="M40" s="14">
        <f t="shared" si="6"/>
        <v>3.2848588799999998</v>
      </c>
      <c r="N40" s="14">
        <f t="shared" si="7"/>
        <v>3.2848588799999998</v>
      </c>
      <c r="O40" s="14">
        <f t="shared" si="8"/>
        <v>3.4372763320319999</v>
      </c>
      <c r="P40" s="14">
        <f t="shared" si="17"/>
        <v>3.4372763320319999</v>
      </c>
      <c r="Q40" s="14">
        <f t="shared" si="9"/>
        <v>3.4372763320319999</v>
      </c>
      <c r="R40" s="14">
        <f t="shared" si="10"/>
        <v>3.4372763320319999</v>
      </c>
      <c r="S40" s="14">
        <f t="shared" si="11"/>
        <v>3.5967659538382848</v>
      </c>
      <c r="T40" s="14">
        <f t="shared" si="18"/>
        <v>3.5967659538382848</v>
      </c>
      <c r="U40" s="14">
        <f t="shared" si="12"/>
        <v>3.5967659538382848</v>
      </c>
      <c r="V40" s="14">
        <f t="shared" si="19"/>
        <v>3.5967659538382848</v>
      </c>
      <c r="Y40" s="108"/>
      <c r="Z40" s="52" t="s">
        <v>31</v>
      </c>
      <c r="AA40" s="15">
        <f ca="1">'Aglis Market Share'!AA40*'Total Tonnage'!AA40</f>
        <v>0</v>
      </c>
      <c r="AB40" s="15">
        <f ca="1">'Aglis Market Share'!AB40*'Total Tonnage'!AB40</f>
        <v>0</v>
      </c>
      <c r="AC40" s="15">
        <f ca="1">'Aglis Market Share'!AC40*'Total Tonnage'!AC40</f>
        <v>0</v>
      </c>
      <c r="AD40" s="15">
        <f ca="1">'Aglis Market Share'!AD40*'Total Tonnage'!AD40</f>
        <v>0</v>
      </c>
      <c r="AE40" s="15">
        <f ca="1">'Aglis Market Share'!AE40*'Total Tonnage'!AE40</f>
        <v>0</v>
      </c>
      <c r="AF40" s="15">
        <f ca="1">'Aglis Market Share'!AF40*'Total Tonnage'!AF40</f>
        <v>0</v>
      </c>
      <c r="AG40" s="15">
        <f ca="1">'Aglis Market Share'!AG40*'Total Tonnage'!AG40</f>
        <v>0</v>
      </c>
      <c r="AH40" s="15">
        <f ca="1">'Aglis Market Share'!AH40*'Total Tonnage'!AH40</f>
        <v>0</v>
      </c>
      <c r="AI40" s="15">
        <f ca="1">'Aglis Market Share'!AI40*'Total Tonnage'!AI40</f>
        <v>0</v>
      </c>
      <c r="AJ40" s="15">
        <f ca="1">'Aglis Market Share'!AJ40*'Total Tonnage'!AJ40</f>
        <v>0</v>
      </c>
      <c r="AK40" s="15">
        <f ca="1">'Aglis Market Share'!AK40*'Total Tonnage'!AK40</f>
        <v>0</v>
      </c>
      <c r="AL40" s="15">
        <f ca="1">'Aglis Market Share'!AL40*'Total Tonnage'!AL40</f>
        <v>0</v>
      </c>
      <c r="AM40" s="15">
        <f>O40*'Aglis Market Share'!O18</f>
        <v>0.68745526640639998</v>
      </c>
      <c r="AN40" s="15">
        <f>P40*'Aglis Market Share'!P18</f>
        <v>0.69622212669012351</v>
      </c>
      <c r="AO40" s="15">
        <f>Q40*'Aglis Market Share'!Q18</f>
        <v>0.70538294414657232</v>
      </c>
      <c r="AP40" s="15">
        <f>R40*'Aglis Market Share'!R18</f>
        <v>0.71454376160302135</v>
      </c>
      <c r="AQ40" s="15">
        <f>S40*'Aglis Market Share'!S18</f>
        <v>0.75920824319368418</v>
      </c>
      <c r="AR40" s="15">
        <f>T40*'Aglis Market Share'!T18</f>
        <v>0.77071789424596671</v>
      </c>
      <c r="AS40" s="15">
        <f>U40*'Aglis Market Share'!U18</f>
        <v>0.78222754529824923</v>
      </c>
      <c r="AT40" s="15">
        <f>V40*'Aglis Market Share'!V18</f>
        <v>0.79373719635053175</v>
      </c>
    </row>
    <row r="41" spans="2:46">
      <c r="B41" s="52" t="s">
        <v>32</v>
      </c>
      <c r="C41" s="16">
        <v>30</v>
      </c>
      <c r="D41" s="14">
        <f t="shared" si="14"/>
        <v>30</v>
      </c>
      <c r="E41" s="14">
        <f t="shared" si="0"/>
        <v>30</v>
      </c>
      <c r="F41" s="14">
        <f t="shared" si="1"/>
        <v>30</v>
      </c>
      <c r="G41" s="14">
        <f t="shared" si="2"/>
        <v>31.391999999999999</v>
      </c>
      <c r="H41" s="14">
        <f t="shared" si="15"/>
        <v>31.391999999999999</v>
      </c>
      <c r="I41" s="14">
        <f t="shared" si="3"/>
        <v>31.391999999999999</v>
      </c>
      <c r="J41" s="14">
        <f t="shared" si="4"/>
        <v>31.391999999999999</v>
      </c>
      <c r="K41" s="14">
        <f t="shared" si="5"/>
        <v>32.848588800000002</v>
      </c>
      <c r="L41" s="14">
        <f t="shared" si="16"/>
        <v>32.848588800000002</v>
      </c>
      <c r="M41" s="14">
        <f t="shared" si="6"/>
        <v>32.848588800000002</v>
      </c>
      <c r="N41" s="14">
        <f t="shared" si="7"/>
        <v>32.848588800000002</v>
      </c>
      <c r="O41" s="14">
        <f t="shared" si="8"/>
        <v>34.372763320320004</v>
      </c>
      <c r="P41" s="14">
        <f t="shared" si="17"/>
        <v>34.372763320320004</v>
      </c>
      <c r="Q41" s="14">
        <f t="shared" si="9"/>
        <v>34.372763320320004</v>
      </c>
      <c r="R41" s="14">
        <f t="shared" si="10"/>
        <v>34.372763320320004</v>
      </c>
      <c r="S41" s="14">
        <f t="shared" si="11"/>
        <v>35.967659538382854</v>
      </c>
      <c r="T41" s="14">
        <f t="shared" si="18"/>
        <v>35.967659538382854</v>
      </c>
      <c r="U41" s="14">
        <f t="shared" si="12"/>
        <v>35.967659538382854</v>
      </c>
      <c r="V41" s="14">
        <f t="shared" si="19"/>
        <v>35.967659538382854</v>
      </c>
      <c r="Y41" s="108"/>
      <c r="Z41" s="52" t="s">
        <v>32</v>
      </c>
      <c r="AA41" s="15">
        <f ca="1">'Aglis Market Share'!AA41*'Total Tonnage'!AA41</f>
        <v>0</v>
      </c>
      <c r="AB41" s="15">
        <f ca="1">'Aglis Market Share'!AB41*'Total Tonnage'!AB41</f>
        <v>0</v>
      </c>
      <c r="AC41" s="15">
        <f ca="1">'Aglis Market Share'!AC41*'Total Tonnage'!AC41</f>
        <v>0</v>
      </c>
      <c r="AD41" s="15">
        <f ca="1">'Aglis Market Share'!AD41*'Total Tonnage'!AD41</f>
        <v>0</v>
      </c>
      <c r="AE41" s="15">
        <f ca="1">'Aglis Market Share'!AE41*'Total Tonnage'!AE41</f>
        <v>0</v>
      </c>
      <c r="AF41" s="15">
        <f ca="1">'Aglis Market Share'!AF41*'Total Tonnage'!AF41</f>
        <v>0</v>
      </c>
      <c r="AG41" s="15">
        <f ca="1">'Aglis Market Share'!AG41*'Total Tonnage'!AG41</f>
        <v>0</v>
      </c>
      <c r="AH41" s="15">
        <f ca="1">'Aglis Market Share'!AH41*'Total Tonnage'!AH41</f>
        <v>0</v>
      </c>
      <c r="AI41" s="15">
        <f ca="1">'Aglis Market Share'!AI41*'Total Tonnage'!AI41</f>
        <v>0</v>
      </c>
      <c r="AJ41" s="15">
        <f ca="1">'Aglis Market Share'!AJ41*'Total Tonnage'!AJ41</f>
        <v>0</v>
      </c>
      <c r="AK41" s="15">
        <f ca="1">'Aglis Market Share'!AK41*'Total Tonnage'!AK41</f>
        <v>0</v>
      </c>
      <c r="AL41" s="15">
        <f ca="1">'Aglis Market Share'!AL41*'Total Tonnage'!AL41</f>
        <v>0</v>
      </c>
      <c r="AM41" s="15">
        <f>O41*'Aglis Market Share'!O19</f>
        <v>3.4372763320320008</v>
      </c>
      <c r="AN41" s="15">
        <f>P41*'Aglis Market Share'!P19</f>
        <v>3.6643269825795963</v>
      </c>
      <c r="AO41" s="15">
        <f>Q41*'Aglis Market Share'!Q19</f>
        <v>3.8933474189908202</v>
      </c>
      <c r="AP41" s="15">
        <f>R41*'Aglis Market Share'!R19</f>
        <v>4.1223678554020458</v>
      </c>
      <c r="AQ41" s="15">
        <f>S41*'Aglis Market Share'!S19</f>
        <v>4.4395325322770409</v>
      </c>
      <c r="AR41" s="15">
        <f>T41*'Aglis Market Share'!T19</f>
        <v>4.5654193406613812</v>
      </c>
      <c r="AS41" s="15">
        <f>U41*'Aglis Market Share'!U19</f>
        <v>4.6913061490457215</v>
      </c>
      <c r="AT41" s="15">
        <f>V41*'Aglis Market Share'!V19</f>
        <v>4.8171929574300618</v>
      </c>
    </row>
    <row r="42" spans="2:46" ht="15" thickBot="1">
      <c r="B42" s="53" t="s">
        <v>29</v>
      </c>
      <c r="C42" s="16">
        <v>18</v>
      </c>
      <c r="D42" s="14">
        <f t="shared" si="14"/>
        <v>18</v>
      </c>
      <c r="E42" s="14">
        <f t="shared" si="0"/>
        <v>18</v>
      </c>
      <c r="F42" s="14">
        <f t="shared" si="1"/>
        <v>18</v>
      </c>
      <c r="G42" s="14">
        <f t="shared" si="2"/>
        <v>18.8352</v>
      </c>
      <c r="H42" s="14">
        <f t="shared" si="15"/>
        <v>18.8352</v>
      </c>
      <c r="I42" s="14">
        <f t="shared" si="3"/>
        <v>18.8352</v>
      </c>
      <c r="J42" s="14">
        <f t="shared" si="4"/>
        <v>18.8352</v>
      </c>
      <c r="K42" s="14">
        <f t="shared" si="5"/>
        <v>19.709153279999999</v>
      </c>
      <c r="L42" s="14">
        <f t="shared" si="16"/>
        <v>19.709153279999999</v>
      </c>
      <c r="M42" s="14">
        <f t="shared" si="6"/>
        <v>19.709153279999999</v>
      </c>
      <c r="N42" s="14">
        <f t="shared" si="7"/>
        <v>19.709153279999999</v>
      </c>
      <c r="O42" s="14">
        <f t="shared" si="8"/>
        <v>20.623657992191998</v>
      </c>
      <c r="P42" s="14">
        <f t="shared" si="17"/>
        <v>20.623657992191998</v>
      </c>
      <c r="Q42" s="14">
        <f t="shared" si="9"/>
        <v>20.623657992191998</v>
      </c>
      <c r="R42" s="14">
        <f t="shared" si="10"/>
        <v>20.623657992191998</v>
      </c>
      <c r="S42" s="14">
        <f t="shared" si="11"/>
        <v>21.580595723029706</v>
      </c>
      <c r="T42" s="14">
        <f t="shared" si="18"/>
        <v>21.580595723029706</v>
      </c>
      <c r="U42" s="14">
        <f t="shared" si="12"/>
        <v>21.580595723029706</v>
      </c>
      <c r="V42" s="14">
        <f t="shared" si="19"/>
        <v>21.580595723029706</v>
      </c>
      <c r="Y42" s="109"/>
      <c r="Z42" s="53" t="s">
        <v>29</v>
      </c>
      <c r="AA42" s="15">
        <f ca="1">'Aglis Market Share'!AA42*'Total Tonnage'!AA42</f>
        <v>0</v>
      </c>
      <c r="AB42" s="15">
        <f ca="1">'Aglis Market Share'!AB42*'Total Tonnage'!AB42</f>
        <v>0</v>
      </c>
      <c r="AC42" s="15">
        <f ca="1">'Aglis Market Share'!AC42*'Total Tonnage'!AC42</f>
        <v>0</v>
      </c>
      <c r="AD42" s="15">
        <f ca="1">'Aglis Market Share'!AD42*'Total Tonnage'!AD42</f>
        <v>0</v>
      </c>
      <c r="AE42" s="15">
        <f ca="1">'Aglis Market Share'!AE42*'Total Tonnage'!AE42</f>
        <v>0</v>
      </c>
      <c r="AF42" s="15">
        <f ca="1">'Aglis Market Share'!AF42*'Total Tonnage'!AF42</f>
        <v>0</v>
      </c>
      <c r="AG42" s="15">
        <f ca="1">'Aglis Market Share'!AG42*'Total Tonnage'!AG42</f>
        <v>0</v>
      </c>
      <c r="AH42" s="15">
        <f ca="1">'Aglis Market Share'!AH42*'Total Tonnage'!AH42</f>
        <v>0</v>
      </c>
      <c r="AI42" s="15">
        <f ca="1">'Aglis Market Share'!AI42*'Total Tonnage'!AI42</f>
        <v>0</v>
      </c>
      <c r="AJ42" s="15">
        <f ca="1">'Aglis Market Share'!AJ42*'Total Tonnage'!AJ42</f>
        <v>0</v>
      </c>
      <c r="AK42" s="15">
        <f ca="1">'Aglis Market Share'!AK42*'Total Tonnage'!AK42</f>
        <v>0</v>
      </c>
      <c r="AL42" s="15">
        <f ca="1">'Aglis Market Share'!AL42*'Total Tonnage'!AL42</f>
        <v>0</v>
      </c>
      <c r="AM42" s="15">
        <f>O42*'Aglis Market Share'!O20</f>
        <v>2.0623657992191999</v>
      </c>
      <c r="AN42" s="15">
        <f>P42*'Aglis Market Share'!P20</f>
        <v>2.2197365375241787</v>
      </c>
      <c r="AO42" s="15">
        <f>Q42*'Aglis Market Share'!Q20</f>
        <v>2.378289147347334</v>
      </c>
      <c r="AP42" s="15">
        <f>R42*'Aglis Market Share'!R20</f>
        <v>2.5368417571704902</v>
      </c>
      <c r="AQ42" s="15">
        <f>S42*'Aglis Market Share'!S20</f>
        <v>2.7300832997338045</v>
      </c>
      <c r="AR42" s="15">
        <f>T42*'Aglis Market Share'!T20</f>
        <v>2.8056153847644087</v>
      </c>
      <c r="AS42" s="15">
        <f>U42*'Aglis Market Share'!U20</f>
        <v>2.8811474697950126</v>
      </c>
      <c r="AT42" s="15">
        <f>V42*'Aglis Market Share'!V20</f>
        <v>2.9566795548256168</v>
      </c>
    </row>
    <row r="45" spans="2:46">
      <c r="C45">
        <v>43.1</v>
      </c>
      <c r="E45">
        <f>C45+2</f>
        <v>45.1</v>
      </c>
      <c r="J45">
        <f>0.94*C4</f>
        <v>44.493333333333332</v>
      </c>
      <c r="O45" s="16">
        <v>51.3</v>
      </c>
      <c r="P45" t="s">
        <v>62</v>
      </c>
    </row>
    <row r="46" spans="2:46">
      <c r="C46">
        <v>48.2</v>
      </c>
      <c r="E46">
        <f t="shared" ref="E46:E61" si="20">C46+2</f>
        <v>50.2</v>
      </c>
      <c r="J46">
        <f t="shared" ref="J46:J61" si="21">0.94*C5</f>
        <v>56.4</v>
      </c>
      <c r="O46" s="16">
        <v>52.4</v>
      </c>
    </row>
    <row r="47" spans="2:46">
      <c r="C47">
        <v>45.2</v>
      </c>
      <c r="E47">
        <f t="shared" si="20"/>
        <v>47.2</v>
      </c>
      <c r="J47">
        <f t="shared" si="21"/>
        <v>76.346799999999988</v>
      </c>
      <c r="O47" s="16">
        <v>36.9</v>
      </c>
    </row>
    <row r="48" spans="2:46">
      <c r="C48">
        <v>45.1</v>
      </c>
      <c r="E48">
        <f t="shared" si="20"/>
        <v>47.1</v>
      </c>
      <c r="J48">
        <f t="shared" si="21"/>
        <v>56.099199999999975</v>
      </c>
      <c r="O48" s="16">
        <v>37.200000000000003</v>
      </c>
    </row>
    <row r="49" spans="3:44">
      <c r="C49">
        <v>33.4</v>
      </c>
      <c r="E49">
        <f t="shared" si="20"/>
        <v>35.4</v>
      </c>
      <c r="J49">
        <f t="shared" si="21"/>
        <v>75.463199999999986</v>
      </c>
      <c r="O49" s="16">
        <v>28.2</v>
      </c>
    </row>
    <row r="50" spans="3:44">
      <c r="C50">
        <v>20.100000000000001</v>
      </c>
      <c r="E50">
        <f t="shared" si="20"/>
        <v>22.1</v>
      </c>
      <c r="J50">
        <f t="shared" si="21"/>
        <v>26.555</v>
      </c>
      <c r="O50" s="16">
        <v>18.3</v>
      </c>
    </row>
    <row r="51" spans="3:44">
      <c r="C51">
        <v>9.41</v>
      </c>
      <c r="E51">
        <f t="shared" si="20"/>
        <v>11.41</v>
      </c>
      <c r="J51">
        <f t="shared" si="21"/>
        <v>31.113999999999994</v>
      </c>
      <c r="O51" s="16">
        <v>20.399999999999999</v>
      </c>
    </row>
    <row r="52" spans="3:44">
      <c r="C52">
        <v>28.4</v>
      </c>
      <c r="E52">
        <f t="shared" si="20"/>
        <v>30.4</v>
      </c>
      <c r="J52">
        <f t="shared" si="21"/>
        <v>41.923999999999999</v>
      </c>
      <c r="O52" s="16">
        <v>14.7</v>
      </c>
    </row>
    <row r="53" spans="3:44">
      <c r="C53">
        <v>13.5</v>
      </c>
      <c r="E53">
        <f t="shared" si="20"/>
        <v>15.5</v>
      </c>
      <c r="J53">
        <f t="shared" si="21"/>
        <v>30.455999999999996</v>
      </c>
      <c r="O53" s="16">
        <v>14.3</v>
      </c>
    </row>
    <row r="54" spans="3:44">
      <c r="C54">
        <v>22.3</v>
      </c>
      <c r="E54">
        <f t="shared" si="20"/>
        <v>24.3</v>
      </c>
      <c r="J54">
        <f t="shared" si="21"/>
        <v>0</v>
      </c>
      <c r="O54" s="16">
        <v>16.3</v>
      </c>
    </row>
    <row r="55" spans="3:44">
      <c r="C55">
        <v>16.7</v>
      </c>
      <c r="E55">
        <f t="shared" si="20"/>
        <v>18.7</v>
      </c>
      <c r="J55">
        <f t="shared" si="21"/>
        <v>0</v>
      </c>
      <c r="O55" s="16">
        <v>21.56</v>
      </c>
    </row>
    <row r="56" spans="3:44">
      <c r="C56">
        <v>17.100000000000001</v>
      </c>
      <c r="E56">
        <f t="shared" si="20"/>
        <v>19.100000000000001</v>
      </c>
      <c r="J56">
        <f t="shared" si="21"/>
        <v>0</v>
      </c>
      <c r="O56" s="16">
        <v>22.2</v>
      </c>
    </row>
    <row r="57" spans="3:44">
      <c r="C57">
        <v>10.4</v>
      </c>
      <c r="E57">
        <f t="shared" si="20"/>
        <v>12.4</v>
      </c>
      <c r="J57">
        <f t="shared" si="21"/>
        <v>0</v>
      </c>
      <c r="O57" s="16">
        <v>21.5</v>
      </c>
    </row>
    <row r="58" spans="3:44">
      <c r="C58">
        <v>10.734270484622806</v>
      </c>
      <c r="E58">
        <f t="shared" si="20"/>
        <v>12.734270484622806</v>
      </c>
      <c r="J58">
        <f t="shared" si="21"/>
        <v>0</v>
      </c>
      <c r="O58" s="16">
        <v>12.9</v>
      </c>
    </row>
    <row r="59" spans="3:44">
      <c r="C59">
        <v>12.714133333333354</v>
      </c>
      <c r="E59">
        <f t="shared" si="20"/>
        <v>14.714133333333354</v>
      </c>
      <c r="J59">
        <f t="shared" si="21"/>
        <v>0</v>
      </c>
      <c r="O59" s="16">
        <v>13</v>
      </c>
    </row>
    <row r="60" spans="3:44">
      <c r="C60">
        <v>20.478595034960637</v>
      </c>
      <c r="E60">
        <f t="shared" si="20"/>
        <v>22.478595034960637</v>
      </c>
      <c r="J60">
        <f t="shared" si="21"/>
        <v>0</v>
      </c>
      <c r="O60" s="16">
        <v>30</v>
      </c>
    </row>
    <row r="61" spans="3:44">
      <c r="C61">
        <v>17.510909246575338</v>
      </c>
      <c r="E61">
        <f t="shared" si="20"/>
        <v>19.510909246575338</v>
      </c>
      <c r="J61">
        <f t="shared" si="21"/>
        <v>0</v>
      </c>
      <c r="O61" s="16">
        <v>18.7</v>
      </c>
    </row>
    <row r="64" spans="3:44">
      <c r="K64" s="14">
        <f>K13+5</f>
        <v>35.050290796088291</v>
      </c>
      <c r="L64" s="14">
        <f t="shared" ref="L64:AG64" si="22">L13-12</f>
        <v>18.050290796088294</v>
      </c>
      <c r="M64" s="14">
        <f t="shared" si="22"/>
        <v>18.050290796088294</v>
      </c>
      <c r="N64" s="14">
        <f t="shared" si="22"/>
        <v>18.050290796088294</v>
      </c>
      <c r="O64" s="14">
        <f t="shared" si="22"/>
        <v>18.747296612010064</v>
      </c>
      <c r="P64" s="14">
        <f t="shared" si="22"/>
        <v>18.747296612010064</v>
      </c>
      <c r="Q64" s="14">
        <f t="shared" si="22"/>
        <v>18.747296612010064</v>
      </c>
      <c r="R64" s="14">
        <f t="shared" si="22"/>
        <v>18.747296612010064</v>
      </c>
      <c r="S64" s="14">
        <f t="shared" si="22"/>
        <v>19.458242544250265</v>
      </c>
      <c r="T64" s="14">
        <f t="shared" si="22"/>
        <v>19.458242544250265</v>
      </c>
      <c r="U64" s="14">
        <f t="shared" si="22"/>
        <v>19.458242544250265</v>
      </c>
      <c r="V64" s="14">
        <f t="shared" si="22"/>
        <v>19.458242544250265</v>
      </c>
      <c r="W64" s="14">
        <f t="shared" si="22"/>
        <v>19.579431816555104</v>
      </c>
      <c r="X64" s="14">
        <f t="shared" si="22"/>
        <v>19.652190680188209</v>
      </c>
      <c r="Y64" s="14">
        <f t="shared" si="22"/>
        <v>19.725095061548583</v>
      </c>
      <c r="Z64" s="14">
        <f t="shared" si="22"/>
        <v>19.798145251671681</v>
      </c>
      <c r="AA64" s="14">
        <f t="shared" si="22"/>
        <v>19.993764964703008</v>
      </c>
      <c r="AB64" s="14">
        <f t="shared" si="22"/>
        <v>20.140940024561822</v>
      </c>
      <c r="AC64" s="14">
        <f t="shared" si="22"/>
        <v>20.288703784660065</v>
      </c>
      <c r="AD64" s="14">
        <f t="shared" si="22"/>
        <v>20.437058599798704</v>
      </c>
      <c r="AE64" s="14">
        <f t="shared" si="22"/>
        <v>20.710667241667331</v>
      </c>
      <c r="AF64" s="14">
        <f t="shared" si="22"/>
        <v>20.935731245117331</v>
      </c>
      <c r="AG64" s="14">
        <f t="shared" si="22"/>
        <v>21.162145632588036</v>
      </c>
      <c r="AH64" s="14">
        <f>AH13-12</f>
        <v>21.389918506383566</v>
      </c>
      <c r="AI64" s="14">
        <f t="shared" ref="AI64:AR64" si="23">AI13-12</f>
        <v>21.724066040617558</v>
      </c>
      <c r="AJ64" s="14">
        <f t="shared" si="23"/>
        <v>22.009144129318116</v>
      </c>
      <c r="AK64" s="14">
        <f t="shared" si="23"/>
        <v>22.296331795875069</v>
      </c>
      <c r="AL64" s="14">
        <f t="shared" si="23"/>
        <v>22.447087794976717</v>
      </c>
      <c r="AM64" s="14">
        <f t="shared" si="23"/>
        <v>22.817994933282115</v>
      </c>
      <c r="AN64" s="14">
        <f t="shared" si="23"/>
        <v>22.817994933282115</v>
      </c>
      <c r="AO64" s="14">
        <f t="shared" si="23"/>
        <v>22.817994933282115</v>
      </c>
      <c r="AP64" s="14">
        <f t="shared" si="23"/>
        <v>22.817994933282115</v>
      </c>
      <c r="AQ64" s="14">
        <f t="shared" si="23"/>
        <v>-12</v>
      </c>
      <c r="AR64" s="14">
        <f t="shared" si="23"/>
        <v>-12</v>
      </c>
    </row>
    <row r="65" spans="3:44">
      <c r="K65" s="14">
        <f t="shared" ref="K65:K67" si="24">K14-12</f>
        <v>30.92652799999999</v>
      </c>
      <c r="L65" s="14">
        <f t="shared" ref="L65:AH65" si="25">L14-12</f>
        <v>30.92652799999999</v>
      </c>
      <c r="M65" s="14">
        <f t="shared" si="25"/>
        <v>30.92652799999999</v>
      </c>
      <c r="N65" s="14">
        <f t="shared" si="25"/>
        <v>30.92652799999999</v>
      </c>
      <c r="O65" s="14">
        <f t="shared" si="25"/>
        <v>30.92652799999999</v>
      </c>
      <c r="P65" s="14">
        <f t="shared" si="25"/>
        <v>30.92652799999999</v>
      </c>
      <c r="Q65" s="14">
        <f t="shared" si="25"/>
        <v>30.92652799999999</v>
      </c>
      <c r="R65" s="14">
        <f t="shared" si="25"/>
        <v>30.92652799999999</v>
      </c>
      <c r="S65" s="14">
        <f t="shared" si="25"/>
        <v>30.92652799999999</v>
      </c>
      <c r="T65" s="14">
        <f t="shared" si="25"/>
        <v>30.92652799999999</v>
      </c>
      <c r="U65" s="14">
        <f t="shared" si="25"/>
        <v>30.92652799999999</v>
      </c>
      <c r="V65" s="14">
        <f t="shared" si="25"/>
        <v>30.92652799999999</v>
      </c>
      <c r="W65" s="14">
        <f t="shared" si="25"/>
        <v>30.92652799999999</v>
      </c>
      <c r="X65" s="14">
        <f t="shared" si="25"/>
        <v>30.92652799999999</v>
      </c>
      <c r="Y65" s="14">
        <f t="shared" si="25"/>
        <v>30.92652799999999</v>
      </c>
      <c r="Z65" s="14">
        <f t="shared" si="25"/>
        <v>30.92652799999999</v>
      </c>
      <c r="AA65" s="14">
        <f t="shared" si="25"/>
        <v>30.92652799999999</v>
      </c>
      <c r="AB65" s="14">
        <f t="shared" si="25"/>
        <v>30.92652799999999</v>
      </c>
      <c r="AC65" s="14">
        <f t="shared" si="25"/>
        <v>30.92652799999999</v>
      </c>
      <c r="AD65" s="14">
        <f t="shared" si="25"/>
        <v>30.92652799999999</v>
      </c>
      <c r="AE65" s="14">
        <f t="shared" si="25"/>
        <v>30.92652799999999</v>
      </c>
      <c r="AF65" s="14">
        <f t="shared" si="25"/>
        <v>30.92652799999999</v>
      </c>
      <c r="AG65" s="14">
        <f t="shared" si="25"/>
        <v>30.92652799999999</v>
      </c>
      <c r="AH65" s="14">
        <f t="shared" si="25"/>
        <v>30.92652799999999</v>
      </c>
      <c r="AI65" s="14">
        <f t="shared" ref="AI65:AR65" si="26">AI14-12</f>
        <v>30.92652799999999</v>
      </c>
      <c r="AJ65" s="14">
        <f t="shared" si="26"/>
        <v>30.92652799999999</v>
      </c>
      <c r="AK65" s="14">
        <f t="shared" si="26"/>
        <v>30.92652799999999</v>
      </c>
      <c r="AL65" s="14">
        <f t="shared" si="26"/>
        <v>30.92652799999999</v>
      </c>
      <c r="AM65" s="14">
        <f t="shared" si="26"/>
        <v>30.92652799999999</v>
      </c>
      <c r="AN65" s="14">
        <f t="shared" si="26"/>
        <v>30.92652799999999</v>
      </c>
      <c r="AO65" s="14">
        <f t="shared" si="26"/>
        <v>30.92652799999999</v>
      </c>
      <c r="AP65" s="14">
        <f t="shared" si="26"/>
        <v>30.92652799999999</v>
      </c>
      <c r="AQ65" s="14">
        <f t="shared" si="26"/>
        <v>-12</v>
      </c>
      <c r="AR65" s="14">
        <f t="shared" si="26"/>
        <v>-12</v>
      </c>
    </row>
    <row r="66" spans="3:44">
      <c r="K66" s="14">
        <f>K15-12-10</f>
        <v>21.601670014076873</v>
      </c>
      <c r="L66" s="14">
        <f t="shared" ref="L66:AG66" si="27">L15-12-10</f>
        <v>21.601670014076873</v>
      </c>
      <c r="M66" s="14">
        <f t="shared" si="27"/>
        <v>21.601670014076873</v>
      </c>
      <c r="N66" s="14">
        <f t="shared" si="27"/>
        <v>21.601670014076873</v>
      </c>
      <c r="O66" s="14">
        <f t="shared" si="27"/>
        <v>22.769703414358403</v>
      </c>
      <c r="P66" s="14">
        <f t="shared" si="27"/>
        <v>22.76970341435841</v>
      </c>
      <c r="Q66" s="14">
        <f t="shared" si="27"/>
        <v>22.769703414358418</v>
      </c>
      <c r="R66" s="14">
        <f t="shared" si="27"/>
        <v>22.76970341435841</v>
      </c>
      <c r="S66" s="14">
        <f t="shared" si="27"/>
        <v>23.961097482645577</v>
      </c>
      <c r="T66" s="14">
        <f t="shared" si="27"/>
        <v>23.961097482645577</v>
      </c>
      <c r="U66" s="14">
        <f t="shared" si="27"/>
        <v>23.96109748264557</v>
      </c>
      <c r="V66" s="14">
        <f t="shared" si="27"/>
        <v>23.961097482645577</v>
      </c>
      <c r="W66" s="14">
        <f t="shared" si="27"/>
        <v>24.164184909714862</v>
      </c>
      <c r="X66" s="14">
        <f t="shared" si="27"/>
        <v>24.286113279534284</v>
      </c>
      <c r="Y66" s="14">
        <f t="shared" si="27"/>
        <v>24.408285506093357</v>
      </c>
      <c r="Z66" s="14">
        <f t="shared" si="27"/>
        <v>24.530702077105538</v>
      </c>
      <c r="AA66" s="14">
        <f t="shared" si="27"/>
        <v>24.858519081432661</v>
      </c>
      <c r="AB66" s="14">
        <f t="shared" si="27"/>
        <v>25.105153157758409</v>
      </c>
      <c r="AC66" s="14">
        <f t="shared" si="27"/>
        <v>25.352773770389433</v>
      </c>
      <c r="AD66" s="14">
        <f t="shared" si="27"/>
        <v>25.60138486547099</v>
      </c>
      <c r="AE66" s="14">
        <f t="shared" si="27"/>
        <v>26.059894715759107</v>
      </c>
      <c r="AF66" s="14">
        <f t="shared" si="27"/>
        <v>26.437054084053656</v>
      </c>
      <c r="AG66" s="14">
        <f t="shared" si="27"/>
        <v>26.816476408557982</v>
      </c>
      <c r="AH66" s="14">
        <f>AH15-12-10</f>
        <v>27.198175267009333</v>
      </c>
      <c r="AI66" s="14">
        <f t="shared" ref="AI66:AR66" si="28">AI15-12-10</f>
        <v>27.758135416109212</v>
      </c>
      <c r="AJ66" s="14">
        <f t="shared" si="28"/>
        <v>28.235865618188413</v>
      </c>
      <c r="AK66" s="14">
        <f t="shared" si="28"/>
        <v>28.717131023763002</v>
      </c>
      <c r="AL66" s="14">
        <f t="shared" si="28"/>
        <v>28.969765992110609</v>
      </c>
      <c r="AM66" s="14">
        <f t="shared" si="28"/>
        <v>29.591327413905375</v>
      </c>
      <c r="AN66" s="14">
        <f t="shared" si="28"/>
        <v>29.591327413905375</v>
      </c>
      <c r="AO66" s="14">
        <f t="shared" si="28"/>
        <v>29.591327413905375</v>
      </c>
      <c r="AP66" s="14">
        <f t="shared" si="28"/>
        <v>29.591327413905375</v>
      </c>
      <c r="AQ66" s="14">
        <f t="shared" si="28"/>
        <v>-22</v>
      </c>
      <c r="AR66" s="14">
        <f t="shared" si="28"/>
        <v>-22</v>
      </c>
    </row>
    <row r="67" spans="3:44">
      <c r="K67" s="14">
        <f t="shared" si="24"/>
        <v>17.052715311291553</v>
      </c>
      <c r="L67" s="14">
        <f t="shared" ref="L67:AH67" si="29">L16-12</f>
        <v>17.052715311291553</v>
      </c>
      <c r="M67" s="14">
        <f t="shared" si="29"/>
        <v>17.052715311291553</v>
      </c>
      <c r="N67" s="14">
        <f t="shared" si="29"/>
        <v>17.052715311291553</v>
      </c>
      <c r="O67" s="14">
        <f t="shared" si="29"/>
        <v>17.729769617517388</v>
      </c>
      <c r="P67" s="14">
        <f t="shared" si="29"/>
        <v>17.729769617517388</v>
      </c>
      <c r="Q67" s="14">
        <f t="shared" si="29"/>
        <v>17.729769617517402</v>
      </c>
      <c r="R67" s="14">
        <f t="shared" si="29"/>
        <v>17.729769617517388</v>
      </c>
      <c r="S67" s="14">
        <f t="shared" si="29"/>
        <v>18.420365009867734</v>
      </c>
      <c r="T67" s="14">
        <f t="shared" si="29"/>
        <v>18.420365009867734</v>
      </c>
      <c r="U67" s="14">
        <f t="shared" si="29"/>
        <v>18.420365009867734</v>
      </c>
      <c r="V67" s="14">
        <f t="shared" si="29"/>
        <v>18.420365009867734</v>
      </c>
      <c r="W67" s="14">
        <f t="shared" si="29"/>
        <v>18.538085288247135</v>
      </c>
      <c r="X67" s="14">
        <f t="shared" si="29"/>
        <v>18.608761458823633</v>
      </c>
      <c r="Y67" s="14">
        <f t="shared" si="29"/>
        <v>18.679578981741276</v>
      </c>
      <c r="Z67" s="14">
        <f t="shared" si="29"/>
        <v>18.750538139704755</v>
      </c>
      <c r="AA67" s="14">
        <f t="shared" si="29"/>
        <v>18.940558317535501</v>
      </c>
      <c r="AB67" s="14">
        <f t="shared" si="29"/>
        <v>19.083520550805648</v>
      </c>
      <c r="AC67" s="14">
        <f t="shared" si="29"/>
        <v>19.227054633008873</v>
      </c>
      <c r="AD67" s="14">
        <f t="shared" si="29"/>
        <v>19.371162851540905</v>
      </c>
      <c r="AE67" s="14">
        <f t="shared" si="29"/>
        <v>19.636939556650265</v>
      </c>
      <c r="AF67" s="14">
        <f t="shared" si="29"/>
        <v>19.855561193990159</v>
      </c>
      <c r="AG67" s="14">
        <f t="shared" si="29"/>
        <v>20.075494561154116</v>
      </c>
      <c r="AH67" s="14">
        <f t="shared" si="29"/>
        <v>20.296747528521038</v>
      </c>
      <c r="AI67" s="14">
        <f t="shared" ref="AI67:AR67" si="30">AI16-12</f>
        <v>20.62133022467642</v>
      </c>
      <c r="AJ67" s="14">
        <f t="shared" si="30"/>
        <v>20.898248068339015</v>
      </c>
      <c r="AK67" s="14">
        <f t="shared" si="30"/>
        <v>21.17721510404472</v>
      </c>
      <c r="AL67" s="14">
        <f t="shared" si="30"/>
        <v>21.323655773619556</v>
      </c>
      <c r="AM67" s="14">
        <f t="shared" si="30"/>
        <v>21.683945845040952</v>
      </c>
      <c r="AN67" s="14">
        <f t="shared" si="30"/>
        <v>21.683945845040952</v>
      </c>
      <c r="AO67" s="14">
        <f t="shared" si="30"/>
        <v>21.683945845040952</v>
      </c>
      <c r="AP67" s="14">
        <f t="shared" si="30"/>
        <v>21.683945845040952</v>
      </c>
      <c r="AQ67" s="14">
        <f t="shared" si="30"/>
        <v>-12</v>
      </c>
      <c r="AR67" s="14">
        <f t="shared" si="30"/>
        <v>-12</v>
      </c>
    </row>
    <row r="71" spans="3:44">
      <c r="C71" s="14" cm="1">
        <f t="array" ref="C71:AP87">C4:AP20</f>
        <v>47.333333333333336</v>
      </c>
      <c r="D71">
        <v>43.167999999999992</v>
      </c>
      <c r="E71">
        <v>44.682666666666655</v>
      </c>
      <c r="F71">
        <v>46.197333333333326</v>
      </c>
      <c r="G71">
        <v>48.28</v>
      </c>
      <c r="H71">
        <v>48.28</v>
      </c>
      <c r="I71">
        <v>48.28</v>
      </c>
      <c r="J71">
        <v>48.28</v>
      </c>
      <c r="K71">
        <v>49.245600000000003</v>
      </c>
      <c r="L71">
        <v>49.245600000000003</v>
      </c>
      <c r="M71">
        <v>49.245600000000003</v>
      </c>
      <c r="N71">
        <v>49.245600000000003</v>
      </c>
      <c r="O71">
        <v>50.230512000000004</v>
      </c>
      <c r="P71">
        <v>50.230512000000004</v>
      </c>
      <c r="Q71">
        <v>50.230512000000004</v>
      </c>
      <c r="R71">
        <v>50.230512000000004</v>
      </c>
      <c r="S71">
        <v>51.235122240000003</v>
      </c>
      <c r="T71">
        <v>51.235122240000003</v>
      </c>
      <c r="U71">
        <v>51.235122240000003</v>
      </c>
      <c r="V71">
        <v>51.235122240000003</v>
      </c>
      <c r="W71">
        <v>52.259824684800009</v>
      </c>
      <c r="X71">
        <v>52.259824684800002</v>
      </c>
      <c r="Y71">
        <v>52.259824684799995</v>
      </c>
      <c r="Z71">
        <v>52.259824684800002</v>
      </c>
      <c r="AA71">
        <v>53.305021178496006</v>
      </c>
      <c r="AB71">
        <v>53.305021178496013</v>
      </c>
      <c r="AC71">
        <v>53.305021178496013</v>
      </c>
      <c r="AD71">
        <v>53.305021178496006</v>
      </c>
      <c r="AE71">
        <v>54.371121602065926</v>
      </c>
      <c r="AF71">
        <v>54.371121602065926</v>
      </c>
      <c r="AG71">
        <v>54.371121602065926</v>
      </c>
      <c r="AH71">
        <v>54.371121602065926</v>
      </c>
      <c r="AI71">
        <v>55.458544034107241</v>
      </c>
      <c r="AJ71">
        <v>55.458544034107248</v>
      </c>
      <c r="AK71">
        <v>55.458544034107248</v>
      </c>
      <c r="AL71">
        <v>55.458544034107248</v>
      </c>
      <c r="AM71">
        <v>56.567714914789391</v>
      </c>
      <c r="AN71">
        <v>56.567714914789391</v>
      </c>
      <c r="AO71">
        <v>56.567714914789391</v>
      </c>
      <c r="AP71">
        <v>56.567714914789391</v>
      </c>
    </row>
    <row r="72" spans="3:44">
      <c r="C72">
        <v>60</v>
      </c>
      <c r="D72">
        <v>60.506666666666646</v>
      </c>
      <c r="E72">
        <v>60.506666666666661</v>
      </c>
      <c r="F72">
        <v>60.506666666666661</v>
      </c>
      <c r="G72">
        <v>62.716799999999992</v>
      </c>
      <c r="H72">
        <v>62.716799999999978</v>
      </c>
      <c r="I72">
        <v>62.716799999999978</v>
      </c>
      <c r="J72">
        <v>62.716799999999978</v>
      </c>
      <c r="K72">
        <v>64.971135999999973</v>
      </c>
      <c r="L72">
        <v>64.971135999999973</v>
      </c>
      <c r="M72">
        <v>64.971135999999973</v>
      </c>
      <c r="N72">
        <v>64.971135999999973</v>
      </c>
      <c r="O72">
        <v>64.971135999999973</v>
      </c>
      <c r="P72">
        <v>64.971135999999973</v>
      </c>
      <c r="Q72">
        <v>64.971135999999973</v>
      </c>
      <c r="R72">
        <v>64.971135999999973</v>
      </c>
      <c r="S72">
        <v>64.971135999999973</v>
      </c>
      <c r="T72">
        <v>64.971135999999973</v>
      </c>
      <c r="U72">
        <v>64.971135999999973</v>
      </c>
      <c r="V72">
        <v>64.971135999999973</v>
      </c>
      <c r="W72">
        <v>64.971135999999973</v>
      </c>
      <c r="X72">
        <v>64.971135999999973</v>
      </c>
      <c r="Y72">
        <v>64.971135999999973</v>
      </c>
      <c r="Z72">
        <v>64.971135999999973</v>
      </c>
      <c r="AA72">
        <v>64.971135999999973</v>
      </c>
      <c r="AB72">
        <v>64.971135999999973</v>
      </c>
      <c r="AC72">
        <v>64.971135999999973</v>
      </c>
      <c r="AD72">
        <v>64.971135999999973</v>
      </c>
      <c r="AE72">
        <v>64.971135999999973</v>
      </c>
      <c r="AF72">
        <v>64.971135999999973</v>
      </c>
      <c r="AG72">
        <v>64.971135999999973</v>
      </c>
      <c r="AH72">
        <v>64.971135999999973</v>
      </c>
      <c r="AI72">
        <v>64.971135999999973</v>
      </c>
      <c r="AJ72">
        <v>64.971135999999973</v>
      </c>
      <c r="AK72">
        <v>64.971135999999973</v>
      </c>
      <c r="AL72">
        <v>64.971135999999973</v>
      </c>
      <c r="AM72">
        <v>64.971135999999973</v>
      </c>
      <c r="AN72">
        <v>64.971135999999973</v>
      </c>
      <c r="AO72">
        <v>64.971135999999973</v>
      </c>
      <c r="AP72">
        <v>64.971135999999973</v>
      </c>
    </row>
    <row r="73" spans="3:44">
      <c r="C73">
        <v>81.219999999999985</v>
      </c>
      <c r="D73">
        <v>81.219999999999985</v>
      </c>
      <c r="E73">
        <v>81.219999999999985</v>
      </c>
      <c r="F73">
        <v>81.219999999999985</v>
      </c>
      <c r="G73">
        <v>82.906399999999991</v>
      </c>
      <c r="H73">
        <v>82.906399999999991</v>
      </c>
      <c r="I73">
        <v>82.906399999999991</v>
      </c>
      <c r="J73">
        <v>82.906399999999991</v>
      </c>
      <c r="K73">
        <v>84.626527999999993</v>
      </c>
      <c r="L73">
        <v>84.626527999999993</v>
      </c>
      <c r="M73">
        <v>84.626527999999993</v>
      </c>
      <c r="N73">
        <v>84.626527999999993</v>
      </c>
      <c r="O73">
        <v>84.626527999999993</v>
      </c>
      <c r="P73">
        <v>84.626527999999993</v>
      </c>
      <c r="Q73">
        <v>84.626527999999993</v>
      </c>
      <c r="R73">
        <v>84.626527999999993</v>
      </c>
      <c r="S73">
        <v>84.626527999999993</v>
      </c>
      <c r="T73">
        <v>84.626527999999993</v>
      </c>
      <c r="U73">
        <v>84.626527999999993</v>
      </c>
      <c r="V73">
        <v>84.626527999999993</v>
      </c>
      <c r="W73">
        <v>84.626527999999993</v>
      </c>
      <c r="X73">
        <v>84.626527999999993</v>
      </c>
      <c r="Y73">
        <v>84.626527999999993</v>
      </c>
      <c r="Z73">
        <v>84.626527999999993</v>
      </c>
      <c r="AA73">
        <v>84.626527999999993</v>
      </c>
      <c r="AB73">
        <v>84.626527999999993</v>
      </c>
      <c r="AC73">
        <v>84.626527999999993</v>
      </c>
      <c r="AD73">
        <v>84.626527999999993</v>
      </c>
      <c r="AE73">
        <v>84.626527999999993</v>
      </c>
      <c r="AF73">
        <v>84.626527999999993</v>
      </c>
      <c r="AG73">
        <v>84.626527999999993</v>
      </c>
      <c r="AH73">
        <v>84.626527999999993</v>
      </c>
      <c r="AI73">
        <v>84.626527999999993</v>
      </c>
      <c r="AJ73">
        <v>84.626527999999993</v>
      </c>
      <c r="AK73">
        <v>84.626527999999993</v>
      </c>
      <c r="AL73">
        <v>84.626527999999993</v>
      </c>
      <c r="AM73">
        <v>84.626527999999993</v>
      </c>
      <c r="AN73">
        <v>84.626527999999993</v>
      </c>
      <c r="AO73">
        <v>84.626527999999993</v>
      </c>
      <c r="AP73">
        <v>84.626527999999993</v>
      </c>
    </row>
    <row r="74" spans="3:44">
      <c r="C74">
        <v>59.679999999999978</v>
      </c>
      <c r="D74">
        <v>59.679999999999986</v>
      </c>
      <c r="E74">
        <v>59.679999999999978</v>
      </c>
      <c r="F74">
        <v>59.679999999999978</v>
      </c>
      <c r="G74">
        <v>60.873599999999982</v>
      </c>
      <c r="H74">
        <v>60.873599999999982</v>
      </c>
      <c r="I74">
        <v>60.873599999999982</v>
      </c>
      <c r="J74">
        <v>60.873599999999982</v>
      </c>
      <c r="K74">
        <v>62.091071999999983</v>
      </c>
      <c r="L74">
        <v>62.09107199999999</v>
      </c>
      <c r="M74">
        <v>62.091071999999983</v>
      </c>
      <c r="N74">
        <v>62.091071999999983</v>
      </c>
      <c r="O74">
        <v>63.332893439999985</v>
      </c>
      <c r="P74">
        <v>63.332893439999985</v>
      </c>
      <c r="Q74">
        <v>63.332893439999985</v>
      </c>
      <c r="R74">
        <v>63.332893439999992</v>
      </c>
      <c r="S74">
        <v>64.599551308799988</v>
      </c>
      <c r="T74">
        <v>64.599551308799988</v>
      </c>
      <c r="U74">
        <v>64.599551308799988</v>
      </c>
      <c r="V74">
        <v>64.599551308799988</v>
      </c>
      <c r="W74">
        <v>65.038311923382466</v>
      </c>
      <c r="X74">
        <v>65.038311923382466</v>
      </c>
      <c r="Y74">
        <v>65.038311923382466</v>
      </c>
      <c r="Z74">
        <v>65.038311923382466</v>
      </c>
      <c r="AA74">
        <v>65.038311923382466</v>
      </c>
      <c r="AB74">
        <v>65.038311923382466</v>
      </c>
      <c r="AC74">
        <v>65.038311923382466</v>
      </c>
      <c r="AD74">
        <v>65.038311923382466</v>
      </c>
      <c r="AE74">
        <v>65.038311923382466</v>
      </c>
      <c r="AF74">
        <v>65.038311923382466</v>
      </c>
      <c r="AG74">
        <v>65.038311923382466</v>
      </c>
      <c r="AH74">
        <v>65.038311923382466</v>
      </c>
      <c r="AI74">
        <v>65.038311923382466</v>
      </c>
      <c r="AJ74">
        <v>65.038311923382466</v>
      </c>
      <c r="AK74">
        <v>65.038311923382466</v>
      </c>
      <c r="AL74">
        <v>65.038311923382466</v>
      </c>
      <c r="AM74">
        <v>65.038311923382466</v>
      </c>
      <c r="AN74">
        <v>65.038311923382466</v>
      </c>
      <c r="AO74">
        <v>65.038311923382466</v>
      </c>
      <c r="AP74">
        <v>65.038311923382466</v>
      </c>
    </row>
    <row r="75" spans="3:44">
      <c r="C75">
        <v>80.279999999999987</v>
      </c>
      <c r="D75">
        <v>80.279999999999987</v>
      </c>
      <c r="E75">
        <v>80.279999999999987</v>
      </c>
      <c r="F75">
        <v>80.279999999999987</v>
      </c>
      <c r="G75">
        <v>81.905599999999993</v>
      </c>
      <c r="H75">
        <v>81.905599999999993</v>
      </c>
      <c r="I75">
        <v>81.905599999999993</v>
      </c>
      <c r="J75">
        <v>81.905599999999993</v>
      </c>
      <c r="K75">
        <v>83.563711999999995</v>
      </c>
      <c r="L75">
        <v>83.563711999999995</v>
      </c>
      <c r="M75">
        <v>83.563711999999995</v>
      </c>
      <c r="N75">
        <v>83.563711999999995</v>
      </c>
      <c r="O75">
        <v>85.254986239999994</v>
      </c>
      <c r="P75">
        <v>85.254986239999994</v>
      </c>
      <c r="Q75">
        <v>85.254986239999994</v>
      </c>
      <c r="R75">
        <v>85.254986239999994</v>
      </c>
      <c r="S75">
        <v>86.980085964799997</v>
      </c>
      <c r="T75">
        <v>86.980085964799997</v>
      </c>
      <c r="U75">
        <v>86.980085964799997</v>
      </c>
      <c r="V75">
        <v>86.980085964799997</v>
      </c>
      <c r="W75">
        <v>86.980085964799997</v>
      </c>
      <c r="X75">
        <v>86.980085964799997</v>
      </c>
      <c r="Y75">
        <v>86.980085964799997</v>
      </c>
      <c r="Z75">
        <v>86.980085964799997</v>
      </c>
      <c r="AA75">
        <v>86.980085964799997</v>
      </c>
      <c r="AB75">
        <v>86.980085964799997</v>
      </c>
      <c r="AC75">
        <v>86.980085964799997</v>
      </c>
      <c r="AD75">
        <v>86.980085964799997</v>
      </c>
      <c r="AE75">
        <v>86.980085964799997</v>
      </c>
      <c r="AF75">
        <v>86.980085964799997</v>
      </c>
      <c r="AG75">
        <v>86.980085964799997</v>
      </c>
      <c r="AH75">
        <v>86.980085964799997</v>
      </c>
      <c r="AI75">
        <v>86.980085964799997</v>
      </c>
      <c r="AJ75">
        <v>86.980085964799997</v>
      </c>
      <c r="AK75">
        <v>86.980085964799997</v>
      </c>
      <c r="AL75">
        <v>86.980085964799997</v>
      </c>
      <c r="AM75">
        <v>86.980085964799997</v>
      </c>
      <c r="AN75">
        <v>86.980085964799997</v>
      </c>
      <c r="AO75">
        <v>86.980085964799997</v>
      </c>
      <c r="AP75">
        <v>86.980085964799997</v>
      </c>
    </row>
    <row r="76" spans="3:44">
      <c r="C76">
        <v>28.25</v>
      </c>
      <c r="D76">
        <v>28.25</v>
      </c>
      <c r="E76">
        <v>28.25</v>
      </c>
      <c r="F76">
        <v>28.25</v>
      </c>
      <c r="G76">
        <v>28.954999999999998</v>
      </c>
      <c r="H76">
        <v>28.954999999999998</v>
      </c>
      <c r="I76">
        <v>28.954999999999998</v>
      </c>
      <c r="J76">
        <v>28.954999999999998</v>
      </c>
      <c r="K76">
        <v>29.674099999999996</v>
      </c>
      <c r="L76">
        <v>29.674099999999996</v>
      </c>
      <c r="M76">
        <v>29.674099999999996</v>
      </c>
      <c r="N76">
        <v>29.674099999999996</v>
      </c>
      <c r="O76">
        <v>30.407581999999998</v>
      </c>
      <c r="P76">
        <v>30.407581999999998</v>
      </c>
      <c r="Q76">
        <v>30.407582000000005</v>
      </c>
      <c r="R76">
        <v>30.407581999999998</v>
      </c>
      <c r="S76">
        <v>31.155733640000001</v>
      </c>
      <c r="T76">
        <v>31.155733640000001</v>
      </c>
      <c r="U76">
        <v>31.155733640000001</v>
      </c>
      <c r="V76">
        <v>31.155733640000001</v>
      </c>
      <c r="W76">
        <v>31.283265072017031</v>
      </c>
      <c r="X76">
        <v>31.359831602161059</v>
      </c>
      <c r="Y76">
        <v>31.436551265365381</v>
      </c>
      <c r="Z76">
        <v>31.513424367896107</v>
      </c>
      <c r="AA76">
        <v>31.719281385263884</v>
      </c>
      <c r="AB76">
        <v>31.874158510804939</v>
      </c>
      <c r="AC76">
        <v>32.029655144848157</v>
      </c>
      <c r="AD76">
        <v>32.185773765427548</v>
      </c>
      <c r="AE76">
        <v>32.473701081485409</v>
      </c>
      <c r="AF76">
        <v>32.710543287974311</v>
      </c>
      <c r="AG76">
        <v>32.948806547702162</v>
      </c>
      <c r="AH76">
        <v>33.188499386988369</v>
      </c>
      <c r="AI76">
        <v>33.540133758045798</v>
      </c>
      <c r="AJ76">
        <v>33.840130747855333</v>
      </c>
      <c r="AK76">
        <v>34.142347715389455</v>
      </c>
      <c r="AL76">
        <v>34.300993180329876</v>
      </c>
      <c r="AM76">
        <v>34.691310884148088</v>
      </c>
      <c r="AN76">
        <v>34.691310884148088</v>
      </c>
      <c r="AO76">
        <v>34.691310884148088</v>
      </c>
      <c r="AP76">
        <v>34.691310884148088</v>
      </c>
    </row>
    <row r="77" spans="3:44">
      <c r="C77">
        <v>33.099999999999994</v>
      </c>
      <c r="D77">
        <v>33.099999999999994</v>
      </c>
      <c r="E77">
        <v>33.1</v>
      </c>
      <c r="F77">
        <v>33.099999999999987</v>
      </c>
      <c r="G77">
        <v>34.341999999999999</v>
      </c>
      <c r="H77">
        <v>34.341999999999999</v>
      </c>
      <c r="I77">
        <v>34.341999999999999</v>
      </c>
      <c r="J77">
        <v>34.341999999999999</v>
      </c>
      <c r="K77">
        <v>35.608840000000001</v>
      </c>
      <c r="L77">
        <v>35.608840000000001</v>
      </c>
      <c r="M77">
        <v>35.608840000000001</v>
      </c>
      <c r="N77">
        <v>35.608840000000001</v>
      </c>
      <c r="O77">
        <v>36.901016800000008</v>
      </c>
      <c r="P77">
        <v>36.901016800000008</v>
      </c>
      <c r="Q77">
        <v>36.901016800000008</v>
      </c>
      <c r="R77">
        <v>36.901016800000008</v>
      </c>
      <c r="S77">
        <v>38.219037136000011</v>
      </c>
      <c r="T77">
        <v>38.219037136000011</v>
      </c>
      <c r="U77">
        <v>38.219037136000011</v>
      </c>
      <c r="V77">
        <v>38.219037136000011</v>
      </c>
      <c r="W77">
        <v>38.443709531127894</v>
      </c>
      <c r="X77">
        <v>38.578596950190146</v>
      </c>
      <c r="Y77">
        <v>38.71375414409053</v>
      </c>
      <c r="Z77">
        <v>38.849181652378704</v>
      </c>
      <c r="AA77">
        <v>39.211840397869153</v>
      </c>
      <c r="AB77">
        <v>39.484687759460627</v>
      </c>
      <c r="AC77">
        <v>39.758626510498473</v>
      </c>
      <c r="AD77">
        <v>40.033661016540464</v>
      </c>
      <c r="AE77">
        <v>40.540903181850908</v>
      </c>
      <c r="AF77">
        <v>40.958148600942025</v>
      </c>
      <c r="AG77">
        <v>41.37789749254766</v>
      </c>
      <c r="AH77">
        <v>41.800164877502951</v>
      </c>
      <c r="AI77">
        <v>42.41963989715309</v>
      </c>
      <c r="AJ77">
        <v>42.948145232391994</v>
      </c>
      <c r="AK77">
        <v>43.480561507111673</v>
      </c>
      <c r="AL77">
        <v>43.760047560240722</v>
      </c>
      <c r="AM77">
        <v>44.447671089520469</v>
      </c>
      <c r="AN77">
        <v>44.447671089520469</v>
      </c>
      <c r="AO77">
        <v>44.447671089520469</v>
      </c>
      <c r="AP77">
        <v>44.447671089520469</v>
      </c>
    </row>
    <row r="78" spans="3:44">
      <c r="C78">
        <v>44.6</v>
      </c>
      <c r="D78">
        <v>44.6</v>
      </c>
      <c r="E78">
        <v>44.6</v>
      </c>
      <c r="F78">
        <v>44.6</v>
      </c>
      <c r="G78">
        <v>44.6</v>
      </c>
      <c r="H78">
        <v>44.6</v>
      </c>
      <c r="I78">
        <v>44.6</v>
      </c>
      <c r="J78">
        <v>44.6</v>
      </c>
      <c r="K78">
        <v>44.6</v>
      </c>
      <c r="L78">
        <v>44.6</v>
      </c>
      <c r="M78">
        <v>44.6</v>
      </c>
      <c r="N78">
        <v>44.6</v>
      </c>
      <c r="O78">
        <v>44.6</v>
      </c>
      <c r="P78">
        <v>44.6</v>
      </c>
      <c r="Q78">
        <v>44.6</v>
      </c>
      <c r="R78">
        <v>44.6</v>
      </c>
      <c r="S78">
        <v>44.6</v>
      </c>
      <c r="T78">
        <v>44.6</v>
      </c>
      <c r="U78">
        <v>44.6</v>
      </c>
      <c r="V78">
        <v>44.6</v>
      </c>
      <c r="W78">
        <v>44.6</v>
      </c>
      <c r="X78">
        <v>44.6</v>
      </c>
      <c r="Y78">
        <v>44.6</v>
      </c>
      <c r="Z78">
        <v>44.6</v>
      </c>
      <c r="AA78">
        <v>44.6</v>
      </c>
      <c r="AB78">
        <v>44.6</v>
      </c>
      <c r="AC78">
        <v>44.6</v>
      </c>
      <c r="AD78">
        <v>44.6</v>
      </c>
      <c r="AE78">
        <v>44.6</v>
      </c>
      <c r="AF78">
        <v>44.6</v>
      </c>
      <c r="AG78">
        <v>44.6</v>
      </c>
      <c r="AH78">
        <v>44.6</v>
      </c>
      <c r="AI78">
        <v>44.6</v>
      </c>
      <c r="AJ78">
        <v>44.6</v>
      </c>
      <c r="AK78">
        <v>44.6</v>
      </c>
      <c r="AL78">
        <v>44.6</v>
      </c>
      <c r="AM78">
        <v>44.6</v>
      </c>
      <c r="AN78">
        <v>44.6</v>
      </c>
      <c r="AO78">
        <v>44.6</v>
      </c>
      <c r="AP78">
        <v>44.6</v>
      </c>
    </row>
    <row r="79" spans="3:44">
      <c r="C79">
        <v>32.4</v>
      </c>
      <c r="D79">
        <v>32.4</v>
      </c>
      <c r="E79">
        <v>32.4</v>
      </c>
      <c r="F79">
        <v>32.4</v>
      </c>
      <c r="G79">
        <v>33.188000000000002</v>
      </c>
      <c r="H79">
        <v>33.188000000000002</v>
      </c>
      <c r="I79">
        <v>33.188000000000002</v>
      </c>
      <c r="J79">
        <v>33.188000000000002</v>
      </c>
      <c r="K79">
        <v>33.991760000000006</v>
      </c>
      <c r="L79">
        <v>33.991760000000006</v>
      </c>
      <c r="M79">
        <v>33.991760000000006</v>
      </c>
      <c r="N79">
        <v>33.991760000000006</v>
      </c>
      <c r="O79">
        <v>34.811595200000006</v>
      </c>
      <c r="P79">
        <v>34.811595200000006</v>
      </c>
      <c r="Q79">
        <v>34.811595200000006</v>
      </c>
      <c r="R79">
        <v>34.811595200000006</v>
      </c>
      <c r="S79">
        <v>35.647827104000008</v>
      </c>
      <c r="T79">
        <v>35.647827104000001</v>
      </c>
      <c r="U79">
        <v>35.647827104000008</v>
      </c>
      <c r="V79">
        <v>35.647827104000008</v>
      </c>
      <c r="W79">
        <v>35.790372874821877</v>
      </c>
      <c r="X79">
        <v>35.875953620571522</v>
      </c>
      <c r="Y79">
        <v>35.961705527812668</v>
      </c>
      <c r="Z79">
        <v>36.047628938868286</v>
      </c>
      <c r="AA79">
        <v>36.27772160508929</v>
      </c>
      <c r="AB79">
        <v>36.450832491509644</v>
      </c>
      <c r="AC79">
        <v>36.624635821475685</v>
      </c>
      <c r="AD79">
        <v>36.799134364761578</v>
      </c>
      <c r="AE79">
        <v>37.120959506681579</v>
      </c>
      <c r="AF79">
        <v>37.385685263721662</v>
      </c>
      <c r="AG79">
        <v>37.651999375304001</v>
      </c>
      <c r="AH79">
        <v>37.919911371555806</v>
      </c>
      <c r="AI79">
        <v>38.312943831688088</v>
      </c>
      <c r="AJ79">
        <v>38.648259616042573</v>
      </c>
      <c r="AK79">
        <v>38.986056737201288</v>
      </c>
      <c r="AL79">
        <v>39.163379611489283</v>
      </c>
      <c r="AM79">
        <v>39.599649612352763</v>
      </c>
      <c r="AN79">
        <v>39.599649612352763</v>
      </c>
      <c r="AO79">
        <v>39.599649612352763</v>
      </c>
      <c r="AP79">
        <v>39.599649612352763</v>
      </c>
    </row>
    <row r="80" spans="3:44"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30.050290796088294</v>
      </c>
      <c r="L80">
        <v>30.050290796088294</v>
      </c>
      <c r="M80">
        <v>30.050290796088294</v>
      </c>
      <c r="N80">
        <v>30.050290796088294</v>
      </c>
      <c r="O80">
        <v>30.747296612010064</v>
      </c>
      <c r="P80">
        <v>30.747296612010064</v>
      </c>
      <c r="Q80">
        <v>30.747296612010064</v>
      </c>
      <c r="R80">
        <v>30.747296612010064</v>
      </c>
      <c r="S80">
        <v>31.458242544250265</v>
      </c>
      <c r="T80">
        <v>31.458242544250265</v>
      </c>
      <c r="U80">
        <v>31.458242544250265</v>
      </c>
      <c r="V80">
        <v>31.458242544250265</v>
      </c>
      <c r="W80">
        <v>31.579431816555104</v>
      </c>
      <c r="X80">
        <v>31.652190680188209</v>
      </c>
      <c r="Y80">
        <v>31.725095061548583</v>
      </c>
      <c r="Z80">
        <v>31.798145251671681</v>
      </c>
      <c r="AA80">
        <v>31.993764964703008</v>
      </c>
      <c r="AB80">
        <v>32.140940024561822</v>
      </c>
      <c r="AC80">
        <v>32.288703784660065</v>
      </c>
      <c r="AD80">
        <v>32.437058599798704</v>
      </c>
      <c r="AE80">
        <v>32.710667241667331</v>
      </c>
      <c r="AF80">
        <v>32.935731245117331</v>
      </c>
      <c r="AG80">
        <v>33.162145632588036</v>
      </c>
      <c r="AH80">
        <v>33.389918506383566</v>
      </c>
      <c r="AI80">
        <v>33.724066040617558</v>
      </c>
      <c r="AJ80">
        <v>34.009144129318116</v>
      </c>
      <c r="AK80">
        <v>34.296331795875069</v>
      </c>
      <c r="AL80">
        <v>34.447087794976717</v>
      </c>
      <c r="AM80">
        <v>34.817994933282115</v>
      </c>
      <c r="AN80">
        <v>34.817994933282115</v>
      </c>
      <c r="AO80">
        <v>34.817994933282115</v>
      </c>
      <c r="AP80">
        <v>34.817994933282115</v>
      </c>
    </row>
    <row r="81" spans="3:42"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42.92652799999999</v>
      </c>
      <c r="L81">
        <v>42.92652799999999</v>
      </c>
      <c r="M81">
        <v>42.92652799999999</v>
      </c>
      <c r="N81">
        <v>42.92652799999999</v>
      </c>
      <c r="O81">
        <v>42.92652799999999</v>
      </c>
      <c r="P81">
        <v>42.92652799999999</v>
      </c>
      <c r="Q81">
        <v>42.92652799999999</v>
      </c>
      <c r="R81">
        <v>42.92652799999999</v>
      </c>
      <c r="S81">
        <v>42.92652799999999</v>
      </c>
      <c r="T81">
        <v>42.92652799999999</v>
      </c>
      <c r="U81">
        <v>42.92652799999999</v>
      </c>
      <c r="V81">
        <v>42.92652799999999</v>
      </c>
      <c r="W81">
        <v>42.92652799999999</v>
      </c>
      <c r="X81">
        <v>42.92652799999999</v>
      </c>
      <c r="Y81">
        <v>42.92652799999999</v>
      </c>
      <c r="Z81">
        <v>42.92652799999999</v>
      </c>
      <c r="AA81">
        <v>42.92652799999999</v>
      </c>
      <c r="AB81">
        <v>42.92652799999999</v>
      </c>
      <c r="AC81">
        <v>42.92652799999999</v>
      </c>
      <c r="AD81">
        <v>42.92652799999999</v>
      </c>
      <c r="AE81">
        <v>42.92652799999999</v>
      </c>
      <c r="AF81">
        <v>42.92652799999999</v>
      </c>
      <c r="AG81">
        <v>42.92652799999999</v>
      </c>
      <c r="AH81">
        <v>42.92652799999999</v>
      </c>
      <c r="AI81">
        <v>42.92652799999999</v>
      </c>
      <c r="AJ81">
        <v>42.92652799999999</v>
      </c>
      <c r="AK81">
        <v>42.92652799999999</v>
      </c>
      <c r="AL81">
        <v>42.92652799999999</v>
      </c>
      <c r="AM81">
        <v>42.92652799999999</v>
      </c>
      <c r="AN81">
        <v>42.92652799999999</v>
      </c>
      <c r="AO81">
        <v>42.92652799999999</v>
      </c>
      <c r="AP81">
        <v>42.92652799999999</v>
      </c>
    </row>
    <row r="82" spans="3:42"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43.601670014076873</v>
      </c>
      <c r="L82">
        <v>43.601670014076873</v>
      </c>
      <c r="M82">
        <v>43.601670014076873</v>
      </c>
      <c r="N82">
        <v>43.601670014076873</v>
      </c>
      <c r="O82">
        <v>44.769703414358403</v>
      </c>
      <c r="P82">
        <v>44.76970341435841</v>
      </c>
      <c r="Q82">
        <v>44.769703414358418</v>
      </c>
      <c r="R82">
        <v>44.76970341435841</v>
      </c>
      <c r="S82">
        <v>45.961097482645577</v>
      </c>
      <c r="T82">
        <v>45.961097482645577</v>
      </c>
      <c r="U82">
        <v>45.96109748264557</v>
      </c>
      <c r="V82">
        <v>45.961097482645577</v>
      </c>
      <c r="W82">
        <v>46.164184909714862</v>
      </c>
      <c r="X82">
        <v>46.286113279534284</v>
      </c>
      <c r="Y82">
        <v>46.408285506093357</v>
      </c>
      <c r="Z82">
        <v>46.530702077105538</v>
      </c>
      <c r="AA82">
        <v>46.858519081432661</v>
      </c>
      <c r="AB82">
        <v>47.105153157758409</v>
      </c>
      <c r="AC82">
        <v>47.352773770389433</v>
      </c>
      <c r="AD82">
        <v>47.60138486547099</v>
      </c>
      <c r="AE82">
        <v>48.059894715759107</v>
      </c>
      <c r="AF82">
        <v>48.437054084053656</v>
      </c>
      <c r="AG82">
        <v>48.816476408557982</v>
      </c>
      <c r="AH82">
        <v>49.198175267009333</v>
      </c>
      <c r="AI82">
        <v>49.758135416109212</v>
      </c>
      <c r="AJ82">
        <v>50.235865618188413</v>
      </c>
      <c r="AK82">
        <v>50.717131023763002</v>
      </c>
      <c r="AL82">
        <v>50.969765992110609</v>
      </c>
      <c r="AM82">
        <v>51.591327413905375</v>
      </c>
      <c r="AN82">
        <v>51.591327413905375</v>
      </c>
      <c r="AO82">
        <v>51.591327413905375</v>
      </c>
      <c r="AP82">
        <v>51.591327413905375</v>
      </c>
    </row>
    <row r="83" spans="3:42"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29.052715311291553</v>
      </c>
      <c r="L83">
        <v>29.052715311291553</v>
      </c>
      <c r="M83">
        <v>29.052715311291553</v>
      </c>
      <c r="N83">
        <v>29.052715311291553</v>
      </c>
      <c r="O83">
        <v>29.729769617517388</v>
      </c>
      <c r="P83">
        <v>29.729769617517388</v>
      </c>
      <c r="Q83">
        <v>29.729769617517402</v>
      </c>
      <c r="R83">
        <v>29.729769617517388</v>
      </c>
      <c r="S83">
        <v>30.420365009867734</v>
      </c>
      <c r="T83">
        <v>30.420365009867734</v>
      </c>
      <c r="U83">
        <v>30.420365009867734</v>
      </c>
      <c r="V83">
        <v>30.420365009867734</v>
      </c>
      <c r="W83">
        <v>30.538085288247135</v>
      </c>
      <c r="X83">
        <v>30.608761458823633</v>
      </c>
      <c r="Y83">
        <v>30.679578981741276</v>
      </c>
      <c r="Z83">
        <v>30.750538139704755</v>
      </c>
      <c r="AA83">
        <v>30.940558317535501</v>
      </c>
      <c r="AB83">
        <v>31.083520550805648</v>
      </c>
      <c r="AC83">
        <v>31.227054633008873</v>
      </c>
      <c r="AD83">
        <v>31.371162851540905</v>
      </c>
      <c r="AE83">
        <v>31.636939556650265</v>
      </c>
      <c r="AF83">
        <v>31.855561193990159</v>
      </c>
      <c r="AG83">
        <v>32.075494561154116</v>
      </c>
      <c r="AH83">
        <v>32.296747528521038</v>
      </c>
      <c r="AI83">
        <v>32.62133022467642</v>
      </c>
      <c r="AJ83">
        <v>32.898248068339015</v>
      </c>
      <c r="AK83">
        <v>33.17721510404472</v>
      </c>
      <c r="AL83">
        <v>33.323655773619556</v>
      </c>
      <c r="AM83">
        <v>33.683945845040952</v>
      </c>
      <c r="AN83">
        <v>33.683945845040952</v>
      </c>
      <c r="AO83">
        <v>33.683945845040952</v>
      </c>
      <c r="AP83">
        <v>33.683945845040952</v>
      </c>
    </row>
    <row r="84" spans="3:42"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49.899999999999991</v>
      </c>
      <c r="P84">
        <v>49.937671666239339</v>
      </c>
      <c r="Q84">
        <v>49.937671666239339</v>
      </c>
      <c r="R84">
        <v>49.937671666239339</v>
      </c>
      <c r="S84">
        <v>51.304425099564128</v>
      </c>
      <c r="T84">
        <v>51.304425099564128</v>
      </c>
      <c r="U84">
        <v>51.304425099564128</v>
      </c>
      <c r="V84">
        <v>51.304425099564128</v>
      </c>
      <c r="W84">
        <v>51.657778800426513</v>
      </c>
      <c r="X84">
        <v>51.797894358027378</v>
      </c>
      <c r="Y84">
        <v>51.938290146743427</v>
      </c>
      <c r="Z84">
        <v>52.078966727036914</v>
      </c>
      <c r="AA84">
        <v>52.496310120440654</v>
      </c>
      <c r="AB84">
        <v>52.739104589941931</v>
      </c>
      <c r="AC84">
        <v>53.023661008301701</v>
      </c>
      <c r="AD84">
        <v>53.309355652334972</v>
      </c>
      <c r="AE84">
        <v>53.919121651625034</v>
      </c>
      <c r="AF84">
        <v>54.269675705042758</v>
      </c>
      <c r="AG84">
        <v>54.705693759273004</v>
      </c>
      <c r="AH84">
        <v>55.144327921828648</v>
      </c>
      <c r="AI84">
        <v>55.570893551058234</v>
      </c>
      <c r="AJ84">
        <v>55.570893551058234</v>
      </c>
      <c r="AK84">
        <v>55.570893551058234</v>
      </c>
      <c r="AL84">
        <v>55.570893551058234</v>
      </c>
      <c r="AM84">
        <v>55.570893551058234</v>
      </c>
      <c r="AN84">
        <v>55.570893551058234</v>
      </c>
      <c r="AO84">
        <v>55.570893551058234</v>
      </c>
      <c r="AP84">
        <v>55.570893551058234</v>
      </c>
    </row>
    <row r="85" spans="3:42"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32.394879251523328</v>
      </c>
      <c r="P85">
        <v>32.394879251523328</v>
      </c>
      <c r="Q85">
        <v>32.394879251523328</v>
      </c>
      <c r="R85">
        <v>32.394879251523328</v>
      </c>
      <c r="S85">
        <v>33.130776836553792</v>
      </c>
      <c r="T85">
        <v>33.130776836553792</v>
      </c>
      <c r="U85">
        <v>33.130776836553792</v>
      </c>
      <c r="V85">
        <v>33.130776836553792</v>
      </c>
      <c r="W85">
        <v>33.321032173607271</v>
      </c>
      <c r="X85">
        <v>33.396474237954479</v>
      </c>
      <c r="Y85">
        <v>33.472067186430351</v>
      </c>
      <c r="Z85">
        <v>33.547811320803241</v>
      </c>
      <c r="AA85">
        <v>33.77252046573448</v>
      </c>
      <c r="AB85">
        <v>33.903247676223465</v>
      </c>
      <c r="AC85">
        <v>34.056460666928324</v>
      </c>
      <c r="AD85">
        <v>34.210286509596052</v>
      </c>
      <c r="AE85">
        <v>34.538601270232654</v>
      </c>
      <c r="AF85">
        <v>34.72734920021238</v>
      </c>
      <c r="AG85">
        <v>34.962113295413651</v>
      </c>
      <c r="AH85">
        <v>35.198285975186131</v>
      </c>
      <c r="AI85">
        <v>35.427960625165582</v>
      </c>
      <c r="AJ85">
        <v>35.427960625165582</v>
      </c>
      <c r="AK85">
        <v>35.427960625165582</v>
      </c>
      <c r="AL85">
        <v>35.427960625165582</v>
      </c>
      <c r="AM85">
        <v>35.427960625165582</v>
      </c>
      <c r="AN85">
        <v>35.427960625165582</v>
      </c>
      <c r="AO85">
        <v>35.427960625165582</v>
      </c>
      <c r="AP85">
        <v>35.427960625165582</v>
      </c>
    </row>
    <row r="86" spans="3:42"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27.384963565692701</v>
      </c>
      <c r="P86">
        <v>27.384963565692711</v>
      </c>
      <c r="Q86">
        <v>27.384963565692715</v>
      </c>
      <c r="R86">
        <v>27.384963565692711</v>
      </c>
      <c r="S86">
        <v>28.020662837006569</v>
      </c>
      <c r="T86">
        <v>28.020662837006569</v>
      </c>
      <c r="U86">
        <v>28.020662837006569</v>
      </c>
      <c r="V86">
        <v>28.020662837006569</v>
      </c>
      <c r="W86">
        <v>28.185013395547216</v>
      </c>
      <c r="X86">
        <v>28.25018342233831</v>
      </c>
      <c r="Y86">
        <v>28.315483789182984</v>
      </c>
      <c r="Z86">
        <v>28.380914756761356</v>
      </c>
      <c r="AA86">
        <v>28.575027962995655</v>
      </c>
      <c r="AB86">
        <v>28.68795562322881</v>
      </c>
      <c r="AC86">
        <v>28.820307445721724</v>
      </c>
      <c r="AD86">
        <v>28.953188675504613</v>
      </c>
      <c r="AE86">
        <v>29.236800768197675</v>
      </c>
      <c r="AF86">
        <v>29.39984916513616</v>
      </c>
      <c r="AG86">
        <v>29.602648260126983</v>
      </c>
      <c r="AH86">
        <v>29.806664149687727</v>
      </c>
      <c r="AI86">
        <v>30.005066767934075</v>
      </c>
      <c r="AJ86">
        <v>30.005066767934075</v>
      </c>
      <c r="AK86">
        <v>30.005066767934075</v>
      </c>
      <c r="AL86">
        <v>30.005066767934075</v>
      </c>
      <c r="AM86">
        <v>30.005066767934075</v>
      </c>
      <c r="AN86">
        <v>29.965645325432519</v>
      </c>
      <c r="AO86">
        <v>29.965645325432519</v>
      </c>
      <c r="AP86">
        <v>29.965645325432519</v>
      </c>
    </row>
    <row r="87" spans="3:42"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39.609949552497589</v>
      </c>
      <c r="P87">
        <v>39.609949552497589</v>
      </c>
      <c r="Q87">
        <v>39.609949552497589</v>
      </c>
      <c r="R87">
        <v>39.609949552497589</v>
      </c>
      <c r="S87">
        <v>40.490148543547541</v>
      </c>
      <c r="T87">
        <v>40.490148543547541</v>
      </c>
      <c r="U87">
        <v>40.490148543547541</v>
      </c>
      <c r="V87">
        <v>40.490148543547541</v>
      </c>
      <c r="W87">
        <v>40.717710855373049</v>
      </c>
      <c r="X87">
        <v>40.807946277083794</v>
      </c>
      <c r="Y87">
        <v>40.898362169637984</v>
      </c>
      <c r="Z87">
        <v>40.988958893977205</v>
      </c>
      <c r="AA87">
        <v>41.257731025686283</v>
      </c>
      <c r="AB87">
        <v>41.414092401393731</v>
      </c>
      <c r="AC87">
        <v>41.59734877099929</v>
      </c>
      <c r="AD87">
        <v>41.781338166083295</v>
      </c>
      <c r="AE87">
        <v>42.174031832889092</v>
      </c>
      <c r="AF87">
        <v>42.399791151726966</v>
      </c>
      <c r="AG87">
        <v>42.680589898637344</v>
      </c>
      <c r="AH87">
        <v>42.963073438029163</v>
      </c>
      <c r="AI87">
        <v>43.237784755600998</v>
      </c>
      <c r="AJ87">
        <v>43.237784755600998</v>
      </c>
      <c r="AK87">
        <v>43.237784755600998</v>
      </c>
      <c r="AL87">
        <v>43.237784755600998</v>
      </c>
      <c r="AM87">
        <v>43.237784755600998</v>
      </c>
      <c r="AN87">
        <v>43.237784755600998</v>
      </c>
      <c r="AO87">
        <v>43.237784755600998</v>
      </c>
      <c r="AP87">
        <v>43.237784755600998</v>
      </c>
    </row>
    <row r="90" spans="3:42">
      <c r="C90" s="14">
        <f>C71+1</f>
        <v>48.333333333333336</v>
      </c>
      <c r="D90" s="14">
        <f t="shared" ref="D90:AP97" si="31">D71+1</f>
        <v>44.167999999999992</v>
      </c>
      <c r="E90" s="14">
        <f t="shared" si="31"/>
        <v>45.682666666666655</v>
      </c>
      <c r="F90" s="14">
        <f t="shared" si="31"/>
        <v>47.197333333333326</v>
      </c>
      <c r="G90" s="14">
        <f t="shared" si="31"/>
        <v>49.28</v>
      </c>
      <c r="H90" s="14">
        <f t="shared" si="31"/>
        <v>49.28</v>
      </c>
      <c r="I90" s="14">
        <f t="shared" si="31"/>
        <v>49.28</v>
      </c>
      <c r="J90" s="14">
        <f t="shared" si="31"/>
        <v>49.28</v>
      </c>
      <c r="K90" s="14">
        <f t="shared" si="31"/>
        <v>50.245600000000003</v>
      </c>
      <c r="L90" s="14">
        <f t="shared" si="31"/>
        <v>50.245600000000003</v>
      </c>
      <c r="M90" s="14">
        <f t="shared" si="31"/>
        <v>50.245600000000003</v>
      </c>
      <c r="N90" s="14">
        <f t="shared" si="31"/>
        <v>50.245600000000003</v>
      </c>
      <c r="O90" s="14">
        <f t="shared" si="31"/>
        <v>51.230512000000004</v>
      </c>
      <c r="P90" s="14">
        <f t="shared" si="31"/>
        <v>51.230512000000004</v>
      </c>
      <c r="Q90" s="14">
        <f t="shared" si="31"/>
        <v>51.230512000000004</v>
      </c>
      <c r="R90" s="14">
        <f t="shared" si="31"/>
        <v>51.230512000000004</v>
      </c>
      <c r="S90" s="14">
        <f t="shared" si="31"/>
        <v>52.235122240000003</v>
      </c>
      <c r="T90" s="14">
        <f t="shared" si="31"/>
        <v>52.235122240000003</v>
      </c>
      <c r="U90" s="14">
        <f t="shared" si="31"/>
        <v>52.235122240000003</v>
      </c>
      <c r="V90" s="14">
        <f t="shared" si="31"/>
        <v>52.235122240000003</v>
      </c>
      <c r="W90" s="14">
        <f t="shared" si="31"/>
        <v>53.259824684800009</v>
      </c>
      <c r="X90" s="14">
        <f t="shared" si="31"/>
        <v>53.259824684800002</v>
      </c>
      <c r="Y90" s="14">
        <f t="shared" si="31"/>
        <v>53.259824684799995</v>
      </c>
      <c r="Z90" s="14">
        <f t="shared" si="31"/>
        <v>53.259824684800002</v>
      </c>
      <c r="AA90" s="14">
        <f t="shared" si="31"/>
        <v>54.305021178496006</v>
      </c>
      <c r="AB90" s="14">
        <f t="shared" si="31"/>
        <v>54.305021178496013</v>
      </c>
      <c r="AC90" s="14">
        <f t="shared" si="31"/>
        <v>54.305021178496013</v>
      </c>
      <c r="AD90" s="14">
        <f t="shared" si="31"/>
        <v>54.305021178496006</v>
      </c>
      <c r="AE90" s="14">
        <f t="shared" si="31"/>
        <v>55.371121602065926</v>
      </c>
      <c r="AF90" s="14">
        <f t="shared" si="31"/>
        <v>55.371121602065926</v>
      </c>
      <c r="AG90" s="14">
        <f t="shared" si="31"/>
        <v>55.371121602065926</v>
      </c>
      <c r="AH90" s="14">
        <f t="shared" si="31"/>
        <v>55.371121602065926</v>
      </c>
      <c r="AI90" s="14">
        <f t="shared" si="31"/>
        <v>56.458544034107241</v>
      </c>
      <c r="AJ90" s="14">
        <f t="shared" si="31"/>
        <v>56.458544034107248</v>
      </c>
      <c r="AK90" s="14">
        <f t="shared" si="31"/>
        <v>56.458544034107248</v>
      </c>
      <c r="AL90" s="14">
        <f t="shared" si="31"/>
        <v>56.458544034107248</v>
      </c>
      <c r="AM90" s="14">
        <f t="shared" si="31"/>
        <v>57.567714914789391</v>
      </c>
      <c r="AN90" s="14">
        <f t="shared" si="31"/>
        <v>57.567714914789391</v>
      </c>
      <c r="AO90" s="14">
        <f t="shared" si="31"/>
        <v>57.567714914789391</v>
      </c>
      <c r="AP90" s="14">
        <f t="shared" si="31"/>
        <v>57.567714914789391</v>
      </c>
    </row>
    <row r="91" spans="3:42">
      <c r="C91" s="14">
        <f t="shared" ref="C91:R98" si="32">C72+1</f>
        <v>61</v>
      </c>
      <c r="D91" s="14">
        <f t="shared" si="32"/>
        <v>61.506666666666646</v>
      </c>
      <c r="E91" s="14">
        <f t="shared" si="32"/>
        <v>61.506666666666661</v>
      </c>
      <c r="F91" s="14">
        <f t="shared" si="32"/>
        <v>61.506666666666661</v>
      </c>
      <c r="G91" s="14">
        <f t="shared" si="32"/>
        <v>63.716799999999992</v>
      </c>
      <c r="H91" s="14">
        <f t="shared" si="32"/>
        <v>63.716799999999978</v>
      </c>
      <c r="I91" s="14">
        <f t="shared" si="32"/>
        <v>63.716799999999978</v>
      </c>
      <c r="J91" s="14">
        <f t="shared" si="32"/>
        <v>63.716799999999978</v>
      </c>
      <c r="K91" s="14">
        <f t="shared" si="32"/>
        <v>65.971135999999973</v>
      </c>
      <c r="L91" s="14">
        <f t="shared" si="32"/>
        <v>65.971135999999973</v>
      </c>
      <c r="M91" s="14">
        <f t="shared" si="32"/>
        <v>65.971135999999973</v>
      </c>
      <c r="N91" s="14">
        <f t="shared" si="32"/>
        <v>65.971135999999973</v>
      </c>
      <c r="O91" s="14">
        <f t="shared" si="32"/>
        <v>65.971135999999973</v>
      </c>
      <c r="P91" s="14">
        <f t="shared" si="32"/>
        <v>65.971135999999973</v>
      </c>
      <c r="Q91" s="14">
        <f t="shared" si="32"/>
        <v>65.971135999999973</v>
      </c>
      <c r="R91" s="14">
        <f t="shared" si="32"/>
        <v>65.971135999999973</v>
      </c>
      <c r="S91" s="14">
        <f t="shared" si="31"/>
        <v>65.971135999999973</v>
      </c>
      <c r="T91" s="14">
        <f t="shared" si="31"/>
        <v>65.971135999999973</v>
      </c>
      <c r="U91" s="14">
        <f t="shared" si="31"/>
        <v>65.971135999999973</v>
      </c>
      <c r="V91" s="14">
        <f t="shared" si="31"/>
        <v>65.971135999999973</v>
      </c>
      <c r="W91" s="14">
        <f t="shared" si="31"/>
        <v>65.971135999999973</v>
      </c>
      <c r="X91" s="14">
        <f t="shared" si="31"/>
        <v>65.971135999999973</v>
      </c>
      <c r="Y91" s="14">
        <f t="shared" si="31"/>
        <v>65.971135999999973</v>
      </c>
      <c r="Z91" s="14">
        <f t="shared" si="31"/>
        <v>65.971135999999973</v>
      </c>
      <c r="AA91" s="14">
        <f t="shared" si="31"/>
        <v>65.971135999999973</v>
      </c>
      <c r="AB91" s="14">
        <f t="shared" si="31"/>
        <v>65.971135999999973</v>
      </c>
      <c r="AC91" s="14">
        <f t="shared" si="31"/>
        <v>65.971135999999973</v>
      </c>
      <c r="AD91" s="14">
        <f t="shared" si="31"/>
        <v>65.971135999999973</v>
      </c>
      <c r="AE91" s="14">
        <f t="shared" si="31"/>
        <v>65.971135999999973</v>
      </c>
      <c r="AF91" s="14">
        <f t="shared" si="31"/>
        <v>65.971135999999973</v>
      </c>
      <c r="AG91" s="14">
        <f t="shared" si="31"/>
        <v>65.971135999999973</v>
      </c>
      <c r="AH91" s="14">
        <f t="shared" si="31"/>
        <v>65.971135999999973</v>
      </c>
      <c r="AI91" s="14">
        <f t="shared" si="31"/>
        <v>65.971135999999973</v>
      </c>
      <c r="AJ91" s="14">
        <f t="shared" si="31"/>
        <v>65.971135999999973</v>
      </c>
      <c r="AK91" s="14">
        <f t="shared" si="31"/>
        <v>65.971135999999973</v>
      </c>
      <c r="AL91" s="14">
        <f t="shared" si="31"/>
        <v>65.971135999999973</v>
      </c>
      <c r="AM91" s="14">
        <f t="shared" si="31"/>
        <v>65.971135999999973</v>
      </c>
      <c r="AN91" s="14">
        <f t="shared" si="31"/>
        <v>65.971135999999973</v>
      </c>
      <c r="AO91" s="14">
        <f t="shared" si="31"/>
        <v>65.971135999999973</v>
      </c>
      <c r="AP91" s="14">
        <f t="shared" si="31"/>
        <v>65.971135999999973</v>
      </c>
    </row>
    <row r="92" spans="3:42">
      <c r="C92" s="14">
        <f t="shared" si="32"/>
        <v>82.219999999999985</v>
      </c>
      <c r="D92" s="14">
        <f t="shared" si="31"/>
        <v>82.219999999999985</v>
      </c>
      <c r="E92" s="14">
        <f t="shared" si="31"/>
        <v>82.219999999999985</v>
      </c>
      <c r="F92" s="14">
        <f t="shared" si="31"/>
        <v>82.219999999999985</v>
      </c>
      <c r="G92" s="14">
        <f t="shared" si="31"/>
        <v>83.906399999999991</v>
      </c>
      <c r="H92" s="14">
        <f t="shared" si="31"/>
        <v>83.906399999999991</v>
      </c>
      <c r="I92" s="14">
        <f t="shared" si="31"/>
        <v>83.906399999999991</v>
      </c>
      <c r="J92" s="14">
        <f t="shared" si="31"/>
        <v>83.906399999999991</v>
      </c>
      <c r="K92" s="14">
        <f t="shared" si="31"/>
        <v>85.626527999999993</v>
      </c>
      <c r="L92" s="14">
        <f t="shared" si="31"/>
        <v>85.626527999999993</v>
      </c>
      <c r="M92" s="14">
        <f t="shared" si="31"/>
        <v>85.626527999999993</v>
      </c>
      <c r="N92" s="14">
        <f t="shared" si="31"/>
        <v>85.626527999999993</v>
      </c>
      <c r="O92" s="14">
        <f t="shared" si="31"/>
        <v>85.626527999999993</v>
      </c>
      <c r="P92" s="14">
        <f t="shared" si="31"/>
        <v>85.626527999999993</v>
      </c>
      <c r="Q92" s="14">
        <f t="shared" si="31"/>
        <v>85.626527999999993</v>
      </c>
      <c r="R92" s="14">
        <f t="shared" si="31"/>
        <v>85.626527999999993</v>
      </c>
      <c r="S92" s="14">
        <f t="shared" si="31"/>
        <v>85.626527999999993</v>
      </c>
      <c r="T92" s="14">
        <f t="shared" si="31"/>
        <v>85.626527999999993</v>
      </c>
      <c r="U92" s="14">
        <f t="shared" si="31"/>
        <v>85.626527999999993</v>
      </c>
      <c r="V92" s="14">
        <f t="shared" si="31"/>
        <v>85.626527999999993</v>
      </c>
      <c r="W92" s="14">
        <f t="shared" si="31"/>
        <v>85.626527999999993</v>
      </c>
      <c r="X92" s="14">
        <f t="shared" si="31"/>
        <v>85.626527999999993</v>
      </c>
      <c r="Y92" s="14">
        <f t="shared" si="31"/>
        <v>85.626527999999993</v>
      </c>
      <c r="Z92" s="14">
        <f t="shared" si="31"/>
        <v>85.626527999999993</v>
      </c>
      <c r="AA92" s="14">
        <f t="shared" si="31"/>
        <v>85.626527999999993</v>
      </c>
      <c r="AB92" s="14">
        <f t="shared" si="31"/>
        <v>85.626527999999993</v>
      </c>
      <c r="AC92" s="14">
        <f t="shared" si="31"/>
        <v>85.626527999999993</v>
      </c>
      <c r="AD92" s="14">
        <f t="shared" si="31"/>
        <v>85.626527999999993</v>
      </c>
      <c r="AE92" s="14">
        <f t="shared" si="31"/>
        <v>85.626527999999993</v>
      </c>
      <c r="AF92" s="14">
        <f t="shared" si="31"/>
        <v>85.626527999999993</v>
      </c>
      <c r="AG92" s="14">
        <f t="shared" si="31"/>
        <v>85.626527999999993</v>
      </c>
      <c r="AH92" s="14">
        <f t="shared" si="31"/>
        <v>85.626527999999993</v>
      </c>
      <c r="AI92" s="14">
        <f t="shared" si="31"/>
        <v>85.626527999999993</v>
      </c>
      <c r="AJ92" s="14">
        <f t="shared" si="31"/>
        <v>85.626527999999993</v>
      </c>
      <c r="AK92" s="14">
        <f t="shared" si="31"/>
        <v>85.626527999999993</v>
      </c>
      <c r="AL92" s="14">
        <f t="shared" si="31"/>
        <v>85.626527999999993</v>
      </c>
      <c r="AM92" s="14">
        <f t="shared" si="31"/>
        <v>85.626527999999993</v>
      </c>
      <c r="AN92" s="14">
        <f t="shared" si="31"/>
        <v>85.626527999999993</v>
      </c>
      <c r="AO92" s="14">
        <f t="shared" si="31"/>
        <v>85.626527999999993</v>
      </c>
      <c r="AP92" s="14">
        <f t="shared" si="31"/>
        <v>85.626527999999993</v>
      </c>
    </row>
    <row r="93" spans="3:42">
      <c r="C93" s="14">
        <f t="shared" si="32"/>
        <v>60.679999999999978</v>
      </c>
      <c r="D93" s="14">
        <f t="shared" si="31"/>
        <v>60.679999999999986</v>
      </c>
      <c r="E93" s="14">
        <f t="shared" si="31"/>
        <v>60.679999999999978</v>
      </c>
      <c r="F93" s="14">
        <f t="shared" si="31"/>
        <v>60.679999999999978</v>
      </c>
      <c r="G93" s="14">
        <f t="shared" si="31"/>
        <v>61.873599999999982</v>
      </c>
      <c r="H93" s="14">
        <f t="shared" si="31"/>
        <v>61.873599999999982</v>
      </c>
      <c r="I93" s="14">
        <f t="shared" si="31"/>
        <v>61.873599999999982</v>
      </c>
      <c r="J93" s="14">
        <f t="shared" si="31"/>
        <v>61.873599999999982</v>
      </c>
      <c r="K93" s="14">
        <f t="shared" si="31"/>
        <v>63.091071999999983</v>
      </c>
      <c r="L93" s="14">
        <f t="shared" si="31"/>
        <v>63.09107199999999</v>
      </c>
      <c r="M93" s="14">
        <f t="shared" si="31"/>
        <v>63.091071999999983</v>
      </c>
      <c r="N93" s="14">
        <f t="shared" si="31"/>
        <v>63.091071999999983</v>
      </c>
      <c r="O93" s="14">
        <f t="shared" si="31"/>
        <v>64.332893439999992</v>
      </c>
      <c r="P93" s="14">
        <f t="shared" si="31"/>
        <v>64.332893439999992</v>
      </c>
      <c r="Q93" s="14">
        <f t="shared" si="31"/>
        <v>64.332893439999992</v>
      </c>
      <c r="R93" s="14">
        <f t="shared" si="31"/>
        <v>64.332893439999992</v>
      </c>
      <c r="S93" s="14">
        <f t="shared" si="31"/>
        <v>65.599551308799988</v>
      </c>
      <c r="T93" s="14">
        <f t="shared" si="31"/>
        <v>65.599551308799988</v>
      </c>
      <c r="U93" s="14">
        <f t="shared" si="31"/>
        <v>65.599551308799988</v>
      </c>
      <c r="V93" s="14">
        <f t="shared" si="31"/>
        <v>65.599551308799988</v>
      </c>
      <c r="W93" s="14">
        <f t="shared" si="31"/>
        <v>66.038311923382466</v>
      </c>
      <c r="X93" s="14">
        <f t="shared" si="31"/>
        <v>66.038311923382466</v>
      </c>
      <c r="Y93" s="14">
        <f t="shared" si="31"/>
        <v>66.038311923382466</v>
      </c>
      <c r="Z93" s="14">
        <f t="shared" si="31"/>
        <v>66.038311923382466</v>
      </c>
      <c r="AA93" s="14">
        <f t="shared" si="31"/>
        <v>66.038311923382466</v>
      </c>
      <c r="AB93" s="14">
        <f t="shared" si="31"/>
        <v>66.038311923382466</v>
      </c>
      <c r="AC93" s="14">
        <f t="shared" si="31"/>
        <v>66.038311923382466</v>
      </c>
      <c r="AD93" s="14">
        <f t="shared" si="31"/>
        <v>66.038311923382466</v>
      </c>
      <c r="AE93" s="14">
        <f t="shared" si="31"/>
        <v>66.038311923382466</v>
      </c>
      <c r="AF93" s="14">
        <f t="shared" si="31"/>
        <v>66.038311923382466</v>
      </c>
      <c r="AG93" s="14">
        <f t="shared" si="31"/>
        <v>66.038311923382466</v>
      </c>
      <c r="AH93" s="14">
        <f t="shared" si="31"/>
        <v>66.038311923382466</v>
      </c>
      <c r="AI93" s="14">
        <f t="shared" si="31"/>
        <v>66.038311923382466</v>
      </c>
      <c r="AJ93" s="14">
        <f t="shared" si="31"/>
        <v>66.038311923382466</v>
      </c>
      <c r="AK93" s="14">
        <f t="shared" si="31"/>
        <v>66.038311923382466</v>
      </c>
      <c r="AL93" s="14">
        <f t="shared" si="31"/>
        <v>66.038311923382466</v>
      </c>
      <c r="AM93" s="14">
        <f t="shared" si="31"/>
        <v>66.038311923382466</v>
      </c>
      <c r="AN93" s="14">
        <f t="shared" si="31"/>
        <v>66.038311923382466</v>
      </c>
      <c r="AO93" s="14">
        <f t="shared" si="31"/>
        <v>66.038311923382466</v>
      </c>
      <c r="AP93" s="14">
        <f t="shared" si="31"/>
        <v>66.038311923382466</v>
      </c>
    </row>
    <row r="94" spans="3:42">
      <c r="C94" s="14">
        <f t="shared" si="32"/>
        <v>81.279999999999987</v>
      </c>
      <c r="D94" s="14">
        <f t="shared" si="31"/>
        <v>81.279999999999987</v>
      </c>
      <c r="E94" s="14">
        <f t="shared" si="31"/>
        <v>81.279999999999987</v>
      </c>
      <c r="F94" s="14">
        <f t="shared" si="31"/>
        <v>81.279999999999987</v>
      </c>
      <c r="G94" s="14">
        <f t="shared" si="31"/>
        <v>82.905599999999993</v>
      </c>
      <c r="H94" s="14">
        <f t="shared" si="31"/>
        <v>82.905599999999993</v>
      </c>
      <c r="I94" s="14">
        <f t="shared" si="31"/>
        <v>82.905599999999993</v>
      </c>
      <c r="J94" s="14">
        <f t="shared" si="31"/>
        <v>82.905599999999993</v>
      </c>
      <c r="K94" s="14">
        <f t="shared" si="31"/>
        <v>84.563711999999995</v>
      </c>
      <c r="L94" s="14">
        <f t="shared" si="31"/>
        <v>84.563711999999995</v>
      </c>
      <c r="M94" s="14">
        <f t="shared" si="31"/>
        <v>84.563711999999995</v>
      </c>
      <c r="N94" s="14">
        <f t="shared" si="31"/>
        <v>84.563711999999995</v>
      </c>
      <c r="O94" s="14">
        <f t="shared" si="31"/>
        <v>86.254986239999994</v>
      </c>
      <c r="P94" s="14">
        <f t="shared" si="31"/>
        <v>86.254986239999994</v>
      </c>
      <c r="Q94" s="14">
        <f t="shared" si="31"/>
        <v>86.254986239999994</v>
      </c>
      <c r="R94" s="14">
        <f t="shared" si="31"/>
        <v>86.254986239999994</v>
      </c>
      <c r="S94" s="14">
        <f t="shared" si="31"/>
        <v>87.980085964799997</v>
      </c>
      <c r="T94" s="14">
        <f t="shared" si="31"/>
        <v>87.980085964799997</v>
      </c>
      <c r="U94" s="14">
        <f t="shared" si="31"/>
        <v>87.980085964799997</v>
      </c>
      <c r="V94" s="14">
        <f t="shared" si="31"/>
        <v>87.980085964799997</v>
      </c>
      <c r="W94" s="14">
        <f t="shared" si="31"/>
        <v>87.980085964799997</v>
      </c>
      <c r="X94" s="14">
        <f t="shared" si="31"/>
        <v>87.980085964799997</v>
      </c>
      <c r="Y94" s="14">
        <f t="shared" si="31"/>
        <v>87.980085964799997</v>
      </c>
      <c r="Z94" s="14">
        <f t="shared" si="31"/>
        <v>87.980085964799997</v>
      </c>
      <c r="AA94" s="14">
        <f t="shared" si="31"/>
        <v>87.980085964799997</v>
      </c>
      <c r="AB94" s="14">
        <f t="shared" si="31"/>
        <v>87.980085964799997</v>
      </c>
      <c r="AC94" s="14">
        <f t="shared" si="31"/>
        <v>87.980085964799997</v>
      </c>
      <c r="AD94" s="14">
        <f t="shared" si="31"/>
        <v>87.980085964799997</v>
      </c>
      <c r="AE94" s="14">
        <f t="shared" si="31"/>
        <v>87.980085964799997</v>
      </c>
      <c r="AF94" s="14">
        <f t="shared" si="31"/>
        <v>87.980085964799997</v>
      </c>
      <c r="AG94" s="14">
        <f t="shared" si="31"/>
        <v>87.980085964799997</v>
      </c>
      <c r="AH94" s="14">
        <f t="shared" si="31"/>
        <v>87.980085964799997</v>
      </c>
      <c r="AI94" s="14">
        <f t="shared" si="31"/>
        <v>87.980085964799997</v>
      </c>
      <c r="AJ94" s="14">
        <f t="shared" si="31"/>
        <v>87.980085964799997</v>
      </c>
      <c r="AK94" s="14">
        <f t="shared" si="31"/>
        <v>87.980085964799997</v>
      </c>
      <c r="AL94" s="14">
        <f t="shared" si="31"/>
        <v>87.980085964799997</v>
      </c>
      <c r="AM94" s="14">
        <f t="shared" si="31"/>
        <v>87.980085964799997</v>
      </c>
      <c r="AN94" s="14">
        <f t="shared" si="31"/>
        <v>87.980085964799997</v>
      </c>
      <c r="AO94" s="14">
        <f t="shared" si="31"/>
        <v>87.980085964799997</v>
      </c>
      <c r="AP94" s="14">
        <f t="shared" si="31"/>
        <v>87.980085964799997</v>
      </c>
    </row>
    <row r="95" spans="3:42">
      <c r="C95" s="14">
        <f>C76+1</f>
        <v>29.25</v>
      </c>
      <c r="D95" s="14">
        <f t="shared" ref="D95:AP95" si="33">D76+1</f>
        <v>29.25</v>
      </c>
      <c r="E95" s="14">
        <f t="shared" si="33"/>
        <v>29.25</v>
      </c>
      <c r="F95" s="14">
        <f t="shared" si="33"/>
        <v>29.25</v>
      </c>
      <c r="G95" s="14">
        <f t="shared" si="33"/>
        <v>29.954999999999998</v>
      </c>
      <c r="H95" s="14">
        <f t="shared" si="33"/>
        <v>29.954999999999998</v>
      </c>
      <c r="I95" s="14">
        <f t="shared" si="33"/>
        <v>29.954999999999998</v>
      </c>
      <c r="J95" s="14">
        <f t="shared" si="33"/>
        <v>29.954999999999998</v>
      </c>
      <c r="K95" s="14">
        <f t="shared" si="33"/>
        <v>30.674099999999996</v>
      </c>
      <c r="L95" s="14">
        <f t="shared" si="33"/>
        <v>30.674099999999996</v>
      </c>
      <c r="M95" s="14">
        <f t="shared" si="33"/>
        <v>30.674099999999996</v>
      </c>
      <c r="N95" s="14">
        <f t="shared" si="33"/>
        <v>30.674099999999996</v>
      </c>
      <c r="O95" s="14">
        <f t="shared" si="33"/>
        <v>31.407581999999998</v>
      </c>
      <c r="P95" s="14">
        <f t="shared" si="33"/>
        <v>31.407581999999998</v>
      </c>
      <c r="Q95" s="14">
        <f t="shared" si="33"/>
        <v>31.407582000000005</v>
      </c>
      <c r="R95" s="14">
        <f t="shared" si="33"/>
        <v>31.407581999999998</v>
      </c>
      <c r="S95" s="14">
        <f t="shared" si="33"/>
        <v>32.155733640000001</v>
      </c>
      <c r="T95" s="14">
        <f t="shared" si="33"/>
        <v>32.155733640000001</v>
      </c>
      <c r="U95" s="14">
        <f t="shared" si="33"/>
        <v>32.155733640000001</v>
      </c>
      <c r="V95" s="14">
        <f t="shared" si="33"/>
        <v>32.155733640000001</v>
      </c>
      <c r="W95" s="14">
        <f t="shared" si="33"/>
        <v>32.283265072017031</v>
      </c>
      <c r="X95" s="14">
        <f t="shared" si="33"/>
        <v>32.359831602161059</v>
      </c>
      <c r="Y95" s="14">
        <f t="shared" si="33"/>
        <v>32.436551265365381</v>
      </c>
      <c r="Z95" s="14">
        <f t="shared" si="33"/>
        <v>32.513424367896107</v>
      </c>
      <c r="AA95" s="14">
        <f t="shared" si="33"/>
        <v>32.719281385263884</v>
      </c>
      <c r="AB95" s="14">
        <f t="shared" si="33"/>
        <v>32.874158510804939</v>
      </c>
      <c r="AC95" s="14">
        <f t="shared" si="33"/>
        <v>33.029655144848157</v>
      </c>
      <c r="AD95" s="14">
        <f t="shared" si="33"/>
        <v>33.185773765427548</v>
      </c>
      <c r="AE95" s="14">
        <f t="shared" si="33"/>
        <v>33.473701081485409</v>
      </c>
      <c r="AF95" s="14">
        <f t="shared" si="33"/>
        <v>33.710543287974311</v>
      </c>
      <c r="AG95" s="14">
        <f t="shared" si="33"/>
        <v>33.948806547702162</v>
      </c>
      <c r="AH95" s="14">
        <f t="shared" si="33"/>
        <v>34.188499386988369</v>
      </c>
      <c r="AI95" s="14">
        <f t="shared" si="33"/>
        <v>34.540133758045798</v>
      </c>
      <c r="AJ95" s="14">
        <f t="shared" si="33"/>
        <v>34.840130747855333</v>
      </c>
      <c r="AK95" s="14">
        <f t="shared" si="33"/>
        <v>35.142347715389455</v>
      </c>
      <c r="AL95" s="14">
        <f t="shared" si="33"/>
        <v>35.300993180329876</v>
      </c>
      <c r="AM95" s="14">
        <f t="shared" si="33"/>
        <v>35.691310884148088</v>
      </c>
      <c r="AN95" s="14">
        <f t="shared" si="33"/>
        <v>35.691310884148088</v>
      </c>
      <c r="AO95" s="14">
        <f t="shared" si="33"/>
        <v>35.691310884148088</v>
      </c>
      <c r="AP95" s="14">
        <f t="shared" si="33"/>
        <v>35.691310884148088</v>
      </c>
    </row>
    <row r="96" spans="3:42">
      <c r="C96" s="14">
        <f t="shared" si="32"/>
        <v>34.099999999999994</v>
      </c>
      <c r="D96" s="14">
        <f t="shared" si="31"/>
        <v>34.099999999999994</v>
      </c>
      <c r="E96" s="14">
        <f t="shared" si="31"/>
        <v>34.1</v>
      </c>
      <c r="F96" s="14">
        <f t="shared" si="31"/>
        <v>34.099999999999987</v>
      </c>
      <c r="G96" s="14">
        <f t="shared" si="31"/>
        <v>35.341999999999999</v>
      </c>
      <c r="H96" s="14">
        <f t="shared" si="31"/>
        <v>35.341999999999999</v>
      </c>
      <c r="I96" s="14">
        <f t="shared" si="31"/>
        <v>35.341999999999999</v>
      </c>
      <c r="J96" s="14">
        <f t="shared" si="31"/>
        <v>35.341999999999999</v>
      </c>
      <c r="K96" s="14">
        <f t="shared" si="31"/>
        <v>36.608840000000001</v>
      </c>
      <c r="L96" s="14">
        <f t="shared" si="31"/>
        <v>36.608840000000001</v>
      </c>
      <c r="M96" s="14">
        <f t="shared" si="31"/>
        <v>36.608840000000001</v>
      </c>
      <c r="N96" s="14">
        <f t="shared" si="31"/>
        <v>36.608840000000001</v>
      </c>
      <c r="O96" s="14">
        <f t="shared" si="31"/>
        <v>37.901016800000008</v>
      </c>
      <c r="P96" s="14">
        <f t="shared" si="31"/>
        <v>37.901016800000008</v>
      </c>
      <c r="Q96" s="14">
        <f t="shared" si="31"/>
        <v>37.901016800000008</v>
      </c>
      <c r="R96" s="14">
        <f t="shared" si="31"/>
        <v>37.901016800000008</v>
      </c>
      <c r="S96" s="14">
        <f t="shared" si="31"/>
        <v>39.219037136000011</v>
      </c>
      <c r="T96" s="14">
        <f t="shared" si="31"/>
        <v>39.219037136000011</v>
      </c>
      <c r="U96" s="14">
        <f t="shared" si="31"/>
        <v>39.219037136000011</v>
      </c>
      <c r="V96" s="14">
        <f t="shared" si="31"/>
        <v>39.219037136000011</v>
      </c>
      <c r="W96" s="14">
        <f t="shared" si="31"/>
        <v>39.443709531127894</v>
      </c>
      <c r="X96" s="14">
        <f t="shared" si="31"/>
        <v>39.578596950190146</v>
      </c>
      <c r="Y96" s="14">
        <f t="shared" si="31"/>
        <v>39.71375414409053</v>
      </c>
      <c r="Z96" s="14">
        <f t="shared" si="31"/>
        <v>39.849181652378704</v>
      </c>
      <c r="AA96" s="14">
        <f t="shared" si="31"/>
        <v>40.211840397869153</v>
      </c>
      <c r="AB96" s="14">
        <f t="shared" si="31"/>
        <v>40.484687759460627</v>
      </c>
      <c r="AC96" s="14">
        <f t="shared" si="31"/>
        <v>40.758626510498473</v>
      </c>
      <c r="AD96" s="14">
        <f t="shared" si="31"/>
        <v>41.033661016540464</v>
      </c>
      <c r="AE96" s="14">
        <f t="shared" si="31"/>
        <v>41.540903181850908</v>
      </c>
      <c r="AF96" s="14">
        <f t="shared" si="31"/>
        <v>41.958148600942025</v>
      </c>
      <c r="AG96" s="14">
        <f t="shared" si="31"/>
        <v>42.37789749254766</v>
      </c>
      <c r="AH96" s="14">
        <f t="shared" si="31"/>
        <v>42.800164877502951</v>
      </c>
      <c r="AI96" s="14">
        <f t="shared" si="31"/>
        <v>43.41963989715309</v>
      </c>
      <c r="AJ96" s="14">
        <f t="shared" si="31"/>
        <v>43.948145232391994</v>
      </c>
      <c r="AK96" s="14">
        <f t="shared" si="31"/>
        <v>44.480561507111673</v>
      </c>
      <c r="AL96" s="14">
        <f t="shared" si="31"/>
        <v>44.760047560240722</v>
      </c>
      <c r="AM96" s="14">
        <f t="shared" si="31"/>
        <v>45.447671089520469</v>
      </c>
      <c r="AN96" s="14">
        <f t="shared" si="31"/>
        <v>45.447671089520469</v>
      </c>
      <c r="AO96" s="14">
        <f t="shared" si="31"/>
        <v>45.447671089520469</v>
      </c>
      <c r="AP96" s="14">
        <f t="shared" si="31"/>
        <v>45.447671089520469</v>
      </c>
    </row>
    <row r="97" spans="3:42">
      <c r="C97" s="14">
        <f t="shared" si="32"/>
        <v>45.6</v>
      </c>
      <c r="D97" s="14">
        <f t="shared" si="31"/>
        <v>45.6</v>
      </c>
      <c r="E97" s="14">
        <f t="shared" si="31"/>
        <v>45.6</v>
      </c>
      <c r="F97" s="14">
        <f t="shared" si="31"/>
        <v>45.6</v>
      </c>
      <c r="G97" s="14">
        <f t="shared" si="31"/>
        <v>45.6</v>
      </c>
      <c r="H97" s="14">
        <f t="shared" si="31"/>
        <v>45.6</v>
      </c>
      <c r="I97" s="14">
        <f t="shared" si="31"/>
        <v>45.6</v>
      </c>
      <c r="J97" s="14">
        <f t="shared" si="31"/>
        <v>45.6</v>
      </c>
      <c r="K97" s="14">
        <f t="shared" si="31"/>
        <v>45.6</v>
      </c>
      <c r="L97" s="14">
        <f t="shared" si="31"/>
        <v>45.6</v>
      </c>
      <c r="M97" s="14">
        <f t="shared" si="31"/>
        <v>45.6</v>
      </c>
      <c r="N97" s="14">
        <f t="shared" si="31"/>
        <v>45.6</v>
      </c>
      <c r="O97" s="14">
        <f t="shared" si="31"/>
        <v>45.6</v>
      </c>
      <c r="P97" s="14">
        <f t="shared" si="31"/>
        <v>45.6</v>
      </c>
      <c r="Q97" s="14">
        <f t="shared" si="31"/>
        <v>45.6</v>
      </c>
      <c r="R97" s="14">
        <f t="shared" si="31"/>
        <v>45.6</v>
      </c>
      <c r="S97" s="14">
        <f t="shared" si="31"/>
        <v>45.6</v>
      </c>
      <c r="T97" s="14">
        <f t="shared" si="31"/>
        <v>45.6</v>
      </c>
      <c r="U97" s="14">
        <f t="shared" si="31"/>
        <v>45.6</v>
      </c>
      <c r="V97" s="14">
        <f t="shared" si="31"/>
        <v>45.6</v>
      </c>
      <c r="W97" s="14">
        <f t="shared" si="31"/>
        <v>45.6</v>
      </c>
      <c r="X97" s="14">
        <f t="shared" si="31"/>
        <v>45.6</v>
      </c>
      <c r="Y97" s="14">
        <f t="shared" si="31"/>
        <v>45.6</v>
      </c>
      <c r="Z97" s="14">
        <f t="shared" si="31"/>
        <v>45.6</v>
      </c>
      <c r="AA97" s="14">
        <f t="shared" si="31"/>
        <v>45.6</v>
      </c>
      <c r="AB97" s="14">
        <f t="shared" si="31"/>
        <v>45.6</v>
      </c>
      <c r="AC97" s="14">
        <f t="shared" si="31"/>
        <v>45.6</v>
      </c>
      <c r="AD97" s="14">
        <f t="shared" si="31"/>
        <v>45.6</v>
      </c>
      <c r="AE97" s="14">
        <f t="shared" si="31"/>
        <v>45.6</v>
      </c>
      <c r="AF97" s="14">
        <f t="shared" si="31"/>
        <v>45.6</v>
      </c>
      <c r="AG97" s="14">
        <f t="shared" si="31"/>
        <v>45.6</v>
      </c>
      <c r="AH97" s="14">
        <f t="shared" si="31"/>
        <v>45.6</v>
      </c>
      <c r="AI97" s="14">
        <f t="shared" si="31"/>
        <v>45.6</v>
      </c>
      <c r="AJ97" s="14">
        <f t="shared" si="31"/>
        <v>45.6</v>
      </c>
      <c r="AK97" s="14">
        <f t="shared" si="31"/>
        <v>45.6</v>
      </c>
      <c r="AL97" s="14">
        <f t="shared" si="31"/>
        <v>45.6</v>
      </c>
      <c r="AM97" s="14">
        <f t="shared" si="31"/>
        <v>45.6</v>
      </c>
      <c r="AN97" s="14">
        <f t="shared" ref="D97:AP98" si="34">AN78+1</f>
        <v>45.6</v>
      </c>
      <c r="AO97" s="14">
        <f t="shared" si="34"/>
        <v>45.6</v>
      </c>
      <c r="AP97" s="14">
        <f t="shared" si="34"/>
        <v>45.6</v>
      </c>
    </row>
    <row r="98" spans="3:42">
      <c r="C98" s="14">
        <f t="shared" si="32"/>
        <v>33.4</v>
      </c>
      <c r="D98" s="14">
        <f t="shared" si="34"/>
        <v>33.4</v>
      </c>
      <c r="E98" s="14">
        <f t="shared" si="34"/>
        <v>33.4</v>
      </c>
      <c r="F98" s="14">
        <f t="shared" si="34"/>
        <v>33.4</v>
      </c>
      <c r="G98" s="14">
        <f t="shared" si="34"/>
        <v>34.188000000000002</v>
      </c>
      <c r="H98" s="14">
        <f t="shared" si="34"/>
        <v>34.188000000000002</v>
      </c>
      <c r="I98" s="14">
        <f t="shared" si="34"/>
        <v>34.188000000000002</v>
      </c>
      <c r="J98" s="14">
        <f t="shared" si="34"/>
        <v>34.188000000000002</v>
      </c>
      <c r="K98" s="14">
        <f t="shared" si="34"/>
        <v>34.991760000000006</v>
      </c>
      <c r="L98" s="14">
        <f t="shared" si="34"/>
        <v>34.991760000000006</v>
      </c>
      <c r="M98" s="14">
        <f t="shared" si="34"/>
        <v>34.991760000000006</v>
      </c>
      <c r="N98" s="14">
        <f t="shared" si="34"/>
        <v>34.991760000000006</v>
      </c>
      <c r="O98" s="14">
        <f t="shared" si="34"/>
        <v>35.811595200000006</v>
      </c>
      <c r="P98" s="14">
        <f t="shared" si="34"/>
        <v>35.811595200000006</v>
      </c>
      <c r="Q98" s="14">
        <f t="shared" si="34"/>
        <v>35.811595200000006</v>
      </c>
      <c r="R98" s="14">
        <f t="shared" si="34"/>
        <v>35.811595200000006</v>
      </c>
      <c r="S98" s="14">
        <f t="shared" si="34"/>
        <v>36.647827104000008</v>
      </c>
      <c r="T98" s="14">
        <f t="shared" si="34"/>
        <v>36.647827104000001</v>
      </c>
      <c r="U98" s="14">
        <f t="shared" si="34"/>
        <v>36.647827104000008</v>
      </c>
      <c r="V98" s="14">
        <f t="shared" si="34"/>
        <v>36.647827104000008</v>
      </c>
      <c r="W98" s="14">
        <f t="shared" si="34"/>
        <v>36.790372874821877</v>
      </c>
      <c r="X98" s="14">
        <f t="shared" si="34"/>
        <v>36.875953620571522</v>
      </c>
      <c r="Y98" s="14">
        <f t="shared" si="34"/>
        <v>36.961705527812668</v>
      </c>
      <c r="Z98" s="14">
        <f t="shared" si="34"/>
        <v>37.047628938868286</v>
      </c>
      <c r="AA98" s="14">
        <f t="shared" si="34"/>
        <v>37.27772160508929</v>
      </c>
      <c r="AB98" s="14">
        <f t="shared" si="34"/>
        <v>37.450832491509644</v>
      </c>
      <c r="AC98" s="14">
        <f t="shared" si="34"/>
        <v>37.624635821475685</v>
      </c>
      <c r="AD98" s="14">
        <f t="shared" si="34"/>
        <v>37.799134364761578</v>
      </c>
      <c r="AE98" s="14">
        <f t="shared" si="34"/>
        <v>38.120959506681579</v>
      </c>
      <c r="AF98" s="14">
        <f t="shared" si="34"/>
        <v>38.385685263721662</v>
      </c>
      <c r="AG98" s="14">
        <f t="shared" si="34"/>
        <v>38.651999375304001</v>
      </c>
      <c r="AH98" s="14">
        <f t="shared" si="34"/>
        <v>38.919911371555806</v>
      </c>
      <c r="AI98" s="14">
        <f t="shared" si="34"/>
        <v>39.312943831688088</v>
      </c>
      <c r="AJ98" s="14">
        <f t="shared" si="34"/>
        <v>39.648259616042573</v>
      </c>
      <c r="AK98" s="14">
        <f t="shared" si="34"/>
        <v>39.986056737201288</v>
      </c>
      <c r="AL98" s="14">
        <f t="shared" si="34"/>
        <v>40.163379611489283</v>
      </c>
      <c r="AM98" s="14">
        <f t="shared" si="34"/>
        <v>40.599649612352763</v>
      </c>
      <c r="AN98" s="14">
        <f t="shared" si="34"/>
        <v>40.599649612352763</v>
      </c>
      <c r="AO98" s="14">
        <f t="shared" si="34"/>
        <v>40.599649612352763</v>
      </c>
      <c r="AP98" s="14">
        <f t="shared" si="34"/>
        <v>40.599649612352763</v>
      </c>
    </row>
    <row r="99" spans="3:42">
      <c r="K99">
        <f>K80+0.4</f>
        <v>30.450290796088293</v>
      </c>
      <c r="L99">
        <f t="shared" ref="L99:AP102" si="35">L80+0.4</f>
        <v>30.450290796088293</v>
      </c>
      <c r="M99">
        <f t="shared" si="35"/>
        <v>30.450290796088293</v>
      </c>
      <c r="N99">
        <f t="shared" si="35"/>
        <v>30.450290796088293</v>
      </c>
      <c r="O99">
        <f t="shared" si="35"/>
        <v>31.147296612010063</v>
      </c>
      <c r="P99">
        <f t="shared" si="35"/>
        <v>31.147296612010063</v>
      </c>
      <c r="Q99">
        <f t="shared" si="35"/>
        <v>31.147296612010063</v>
      </c>
      <c r="R99">
        <f t="shared" si="35"/>
        <v>31.147296612010063</v>
      </c>
      <c r="S99">
        <f t="shared" si="35"/>
        <v>31.858242544250263</v>
      </c>
      <c r="T99">
        <f t="shared" si="35"/>
        <v>31.858242544250263</v>
      </c>
      <c r="U99">
        <f t="shared" si="35"/>
        <v>31.858242544250263</v>
      </c>
      <c r="V99">
        <f t="shared" si="35"/>
        <v>31.858242544250263</v>
      </c>
      <c r="W99">
        <f t="shared" si="35"/>
        <v>31.979431816555103</v>
      </c>
      <c r="X99">
        <f t="shared" si="35"/>
        <v>32.052190680188211</v>
      </c>
      <c r="Y99">
        <f t="shared" si="35"/>
        <v>32.125095061548585</v>
      </c>
      <c r="Z99">
        <f t="shared" si="35"/>
        <v>32.198145251671683</v>
      </c>
      <c r="AA99">
        <f t="shared" si="35"/>
        <v>32.39376496470301</v>
      </c>
      <c r="AB99">
        <f t="shared" si="35"/>
        <v>32.54094002456182</v>
      </c>
      <c r="AC99">
        <f t="shared" si="35"/>
        <v>32.688703784660063</v>
      </c>
      <c r="AD99">
        <f t="shared" si="35"/>
        <v>32.837058599798702</v>
      </c>
      <c r="AE99">
        <f t="shared" si="35"/>
        <v>33.110667241667329</v>
      </c>
      <c r="AF99">
        <f t="shared" si="35"/>
        <v>33.33573124511733</v>
      </c>
      <c r="AG99">
        <f t="shared" si="35"/>
        <v>33.562145632588035</v>
      </c>
      <c r="AH99">
        <f t="shared" si="35"/>
        <v>33.789918506383565</v>
      </c>
      <c r="AI99">
        <f t="shared" si="35"/>
        <v>34.124066040617556</v>
      </c>
      <c r="AJ99">
        <f t="shared" si="35"/>
        <v>34.409144129318115</v>
      </c>
      <c r="AK99">
        <f t="shared" si="35"/>
        <v>34.696331795875068</v>
      </c>
      <c r="AL99">
        <f t="shared" si="35"/>
        <v>34.847087794976716</v>
      </c>
      <c r="AM99">
        <f t="shared" si="35"/>
        <v>35.217994933282114</v>
      </c>
      <c r="AN99">
        <f t="shared" si="35"/>
        <v>35.217994933282114</v>
      </c>
      <c r="AO99">
        <f t="shared" si="35"/>
        <v>35.217994933282114</v>
      </c>
      <c r="AP99">
        <f t="shared" si="35"/>
        <v>35.217994933282114</v>
      </c>
    </row>
    <row r="100" spans="3:42">
      <c r="K100">
        <f t="shared" ref="K100:Z102" si="36">K81+0.4</f>
        <v>43.326527999999989</v>
      </c>
      <c r="L100">
        <f t="shared" si="36"/>
        <v>43.326527999999989</v>
      </c>
      <c r="M100">
        <f t="shared" si="36"/>
        <v>43.326527999999989</v>
      </c>
      <c r="N100">
        <f t="shared" si="36"/>
        <v>43.326527999999989</v>
      </c>
      <c r="O100">
        <f t="shared" si="36"/>
        <v>43.326527999999989</v>
      </c>
      <c r="P100">
        <f t="shared" si="36"/>
        <v>43.326527999999989</v>
      </c>
      <c r="Q100">
        <f t="shared" si="36"/>
        <v>43.326527999999989</v>
      </c>
      <c r="R100">
        <f t="shared" si="36"/>
        <v>43.326527999999989</v>
      </c>
      <c r="S100">
        <f t="shared" si="36"/>
        <v>43.326527999999989</v>
      </c>
      <c r="T100">
        <f t="shared" si="36"/>
        <v>43.326527999999989</v>
      </c>
      <c r="U100">
        <f t="shared" si="36"/>
        <v>43.326527999999989</v>
      </c>
      <c r="V100">
        <f t="shared" si="36"/>
        <v>43.326527999999989</v>
      </c>
      <c r="W100">
        <f t="shared" si="36"/>
        <v>43.326527999999989</v>
      </c>
      <c r="X100">
        <f t="shared" si="36"/>
        <v>43.326527999999989</v>
      </c>
      <c r="Y100">
        <f t="shared" si="36"/>
        <v>43.326527999999989</v>
      </c>
      <c r="Z100">
        <f t="shared" si="36"/>
        <v>43.326527999999989</v>
      </c>
      <c r="AA100">
        <f t="shared" si="35"/>
        <v>43.326527999999989</v>
      </c>
      <c r="AB100">
        <f t="shared" si="35"/>
        <v>43.326527999999989</v>
      </c>
      <c r="AC100">
        <f t="shared" si="35"/>
        <v>43.326527999999989</v>
      </c>
      <c r="AD100">
        <f t="shared" si="35"/>
        <v>43.326527999999989</v>
      </c>
      <c r="AE100">
        <f t="shared" si="35"/>
        <v>43.326527999999989</v>
      </c>
      <c r="AF100">
        <f t="shared" si="35"/>
        <v>43.326527999999989</v>
      </c>
      <c r="AG100">
        <f t="shared" si="35"/>
        <v>43.326527999999989</v>
      </c>
      <c r="AH100">
        <f t="shared" si="35"/>
        <v>43.326527999999989</v>
      </c>
      <c r="AI100">
        <f t="shared" si="35"/>
        <v>43.326527999999989</v>
      </c>
      <c r="AJ100">
        <f t="shared" si="35"/>
        <v>43.326527999999989</v>
      </c>
      <c r="AK100">
        <f t="shared" si="35"/>
        <v>43.326527999999989</v>
      </c>
      <c r="AL100">
        <f t="shared" si="35"/>
        <v>43.326527999999989</v>
      </c>
      <c r="AM100">
        <f t="shared" si="35"/>
        <v>43.326527999999989</v>
      </c>
      <c r="AN100">
        <f t="shared" si="35"/>
        <v>43.326527999999989</v>
      </c>
      <c r="AO100">
        <f t="shared" si="35"/>
        <v>43.326527999999989</v>
      </c>
      <c r="AP100">
        <f t="shared" si="35"/>
        <v>43.326527999999989</v>
      </c>
    </row>
    <row r="101" spans="3:42">
      <c r="K101">
        <f t="shared" si="36"/>
        <v>44.001670014076872</v>
      </c>
      <c r="L101">
        <f t="shared" si="35"/>
        <v>44.001670014076872</v>
      </c>
      <c r="M101">
        <f t="shared" si="35"/>
        <v>44.001670014076872</v>
      </c>
      <c r="N101">
        <f t="shared" si="35"/>
        <v>44.001670014076872</v>
      </c>
      <c r="O101">
        <f t="shared" si="35"/>
        <v>45.169703414358402</v>
      </c>
      <c r="P101">
        <f t="shared" si="35"/>
        <v>45.169703414358409</v>
      </c>
      <c r="Q101">
        <f t="shared" si="35"/>
        <v>45.169703414358416</v>
      </c>
      <c r="R101">
        <f t="shared" si="35"/>
        <v>45.169703414358409</v>
      </c>
      <c r="S101">
        <f t="shared" si="35"/>
        <v>46.361097482645576</v>
      </c>
      <c r="T101">
        <f t="shared" si="35"/>
        <v>46.361097482645576</v>
      </c>
      <c r="U101">
        <f t="shared" si="35"/>
        <v>46.361097482645569</v>
      </c>
      <c r="V101">
        <f t="shared" si="35"/>
        <v>46.361097482645576</v>
      </c>
      <c r="W101">
        <f t="shared" si="35"/>
        <v>46.564184909714861</v>
      </c>
      <c r="X101">
        <f t="shared" si="35"/>
        <v>46.686113279534283</v>
      </c>
      <c r="Y101">
        <f t="shared" si="35"/>
        <v>46.808285506093355</v>
      </c>
      <c r="Z101">
        <f t="shared" si="35"/>
        <v>46.930702077105536</v>
      </c>
      <c r="AA101">
        <f t="shared" si="35"/>
        <v>47.258519081432659</v>
      </c>
      <c r="AB101">
        <f t="shared" si="35"/>
        <v>47.505153157758407</v>
      </c>
      <c r="AC101">
        <f t="shared" si="35"/>
        <v>47.752773770389432</v>
      </c>
      <c r="AD101">
        <f t="shared" si="35"/>
        <v>48.001384865470989</v>
      </c>
      <c r="AE101">
        <f t="shared" si="35"/>
        <v>48.459894715759106</v>
      </c>
      <c r="AF101">
        <f t="shared" si="35"/>
        <v>48.837054084053655</v>
      </c>
      <c r="AG101">
        <f t="shared" si="35"/>
        <v>49.21647640855798</v>
      </c>
      <c r="AH101">
        <f t="shared" si="35"/>
        <v>49.598175267009331</v>
      </c>
      <c r="AI101">
        <f t="shared" si="35"/>
        <v>50.158135416109211</v>
      </c>
      <c r="AJ101">
        <f t="shared" si="35"/>
        <v>50.635865618188411</v>
      </c>
      <c r="AK101">
        <f t="shared" si="35"/>
        <v>51.117131023763001</v>
      </c>
      <c r="AL101">
        <f t="shared" si="35"/>
        <v>51.369765992110608</v>
      </c>
      <c r="AM101">
        <f t="shared" si="35"/>
        <v>51.991327413905374</v>
      </c>
      <c r="AN101">
        <f t="shared" si="35"/>
        <v>51.991327413905374</v>
      </c>
      <c r="AO101">
        <f t="shared" si="35"/>
        <v>51.991327413905374</v>
      </c>
      <c r="AP101">
        <f t="shared" si="35"/>
        <v>51.991327413905374</v>
      </c>
    </row>
    <row r="102" spans="3:42">
      <c r="K102">
        <f t="shared" si="36"/>
        <v>29.452715311291552</v>
      </c>
      <c r="L102">
        <f t="shared" si="35"/>
        <v>29.452715311291552</v>
      </c>
      <c r="M102">
        <f t="shared" si="35"/>
        <v>29.452715311291552</v>
      </c>
      <c r="N102">
        <f t="shared" si="35"/>
        <v>29.452715311291552</v>
      </c>
      <c r="O102">
        <f t="shared" si="35"/>
        <v>30.129769617517386</v>
      </c>
      <c r="P102">
        <f t="shared" si="35"/>
        <v>30.129769617517386</v>
      </c>
      <c r="Q102">
        <f t="shared" si="35"/>
        <v>30.1297696175174</v>
      </c>
      <c r="R102">
        <f t="shared" si="35"/>
        <v>30.129769617517386</v>
      </c>
      <c r="S102">
        <f t="shared" si="35"/>
        <v>30.820365009867732</v>
      </c>
      <c r="T102">
        <f t="shared" si="35"/>
        <v>30.820365009867732</v>
      </c>
      <c r="U102">
        <f t="shared" si="35"/>
        <v>30.820365009867732</v>
      </c>
      <c r="V102">
        <f t="shared" si="35"/>
        <v>30.820365009867732</v>
      </c>
      <c r="W102">
        <f t="shared" si="35"/>
        <v>30.938085288247134</v>
      </c>
      <c r="X102">
        <f t="shared" si="35"/>
        <v>31.008761458823631</v>
      </c>
      <c r="Y102">
        <f t="shared" si="35"/>
        <v>31.079578981741275</v>
      </c>
      <c r="Z102">
        <f t="shared" si="35"/>
        <v>31.150538139704754</v>
      </c>
      <c r="AA102">
        <f t="shared" si="35"/>
        <v>31.3405583175355</v>
      </c>
      <c r="AB102">
        <f t="shared" si="35"/>
        <v>31.483520550805647</v>
      </c>
      <c r="AC102">
        <f t="shared" si="35"/>
        <v>31.627054633008871</v>
      </c>
      <c r="AD102">
        <f t="shared" si="35"/>
        <v>31.771162851540904</v>
      </c>
      <c r="AE102">
        <f t="shared" si="35"/>
        <v>32.036939556650267</v>
      </c>
      <c r="AF102">
        <f t="shared" si="35"/>
        <v>32.255561193990161</v>
      </c>
      <c r="AG102">
        <f t="shared" si="35"/>
        <v>32.475494561154115</v>
      </c>
      <c r="AH102">
        <f t="shared" si="35"/>
        <v>32.696747528521037</v>
      </c>
      <c r="AI102">
        <f t="shared" si="35"/>
        <v>33.021330224676419</v>
      </c>
      <c r="AJ102">
        <f t="shared" si="35"/>
        <v>33.298248068339014</v>
      </c>
      <c r="AK102">
        <f t="shared" si="35"/>
        <v>33.577215104044718</v>
      </c>
      <c r="AL102">
        <f t="shared" si="35"/>
        <v>33.723655773619555</v>
      </c>
      <c r="AM102">
        <f t="shared" si="35"/>
        <v>34.083945845040951</v>
      </c>
      <c r="AN102">
        <f t="shared" si="35"/>
        <v>34.083945845040951</v>
      </c>
      <c r="AO102">
        <f t="shared" si="35"/>
        <v>34.083945845040951</v>
      </c>
      <c r="AP102">
        <f t="shared" si="35"/>
        <v>34.083945845040951</v>
      </c>
    </row>
    <row r="103" spans="3:42">
      <c r="O103">
        <f>O84+0.2</f>
        <v>50.099999999999994</v>
      </c>
      <c r="P103">
        <f t="shared" ref="P103:AP106" si="37">P84+0.2</f>
        <v>50.137671666239342</v>
      </c>
      <c r="Q103">
        <f t="shared" si="37"/>
        <v>50.137671666239342</v>
      </c>
      <c r="R103">
        <f t="shared" si="37"/>
        <v>50.137671666239342</v>
      </c>
      <c r="S103">
        <f t="shared" si="37"/>
        <v>51.504425099564131</v>
      </c>
      <c r="T103">
        <f t="shared" si="37"/>
        <v>51.504425099564131</v>
      </c>
      <c r="U103">
        <f t="shared" si="37"/>
        <v>51.504425099564131</v>
      </c>
      <c r="V103">
        <f t="shared" si="37"/>
        <v>51.504425099564131</v>
      </c>
      <c r="W103">
        <f t="shared" si="37"/>
        <v>51.857778800426516</v>
      </c>
      <c r="X103">
        <f t="shared" si="37"/>
        <v>51.997894358027381</v>
      </c>
      <c r="Y103">
        <f t="shared" si="37"/>
        <v>52.138290146743429</v>
      </c>
      <c r="Z103">
        <f t="shared" si="37"/>
        <v>52.278966727036916</v>
      </c>
      <c r="AA103">
        <f t="shared" si="37"/>
        <v>52.696310120440657</v>
      </c>
      <c r="AB103">
        <f t="shared" si="37"/>
        <v>52.939104589941934</v>
      </c>
      <c r="AC103">
        <f t="shared" si="37"/>
        <v>53.223661008301704</v>
      </c>
      <c r="AD103">
        <f t="shared" si="37"/>
        <v>53.509355652334975</v>
      </c>
      <c r="AE103">
        <f t="shared" si="37"/>
        <v>54.119121651625036</v>
      </c>
      <c r="AF103">
        <f t="shared" si="37"/>
        <v>54.469675705042761</v>
      </c>
      <c r="AG103">
        <f t="shared" si="37"/>
        <v>54.905693759273007</v>
      </c>
      <c r="AH103">
        <f t="shared" si="37"/>
        <v>55.344327921828651</v>
      </c>
      <c r="AI103">
        <f t="shared" si="37"/>
        <v>55.770893551058236</v>
      </c>
      <c r="AJ103">
        <f t="shared" si="37"/>
        <v>55.770893551058236</v>
      </c>
      <c r="AK103">
        <f t="shared" si="37"/>
        <v>55.770893551058236</v>
      </c>
      <c r="AL103">
        <f t="shared" si="37"/>
        <v>55.770893551058236</v>
      </c>
      <c r="AM103">
        <f t="shared" si="37"/>
        <v>55.770893551058236</v>
      </c>
      <c r="AN103">
        <f t="shared" si="37"/>
        <v>55.770893551058236</v>
      </c>
      <c r="AO103">
        <f t="shared" si="37"/>
        <v>55.770893551058236</v>
      </c>
      <c r="AP103">
        <f t="shared" si="37"/>
        <v>55.770893551058236</v>
      </c>
    </row>
    <row r="104" spans="3:42">
      <c r="O104">
        <f t="shared" ref="O104:AD106" si="38">O85+0.2</f>
        <v>32.594879251523331</v>
      </c>
      <c r="P104">
        <f t="shared" si="38"/>
        <v>32.594879251523331</v>
      </c>
      <c r="Q104">
        <f t="shared" si="38"/>
        <v>32.594879251523331</v>
      </c>
      <c r="R104">
        <f t="shared" si="38"/>
        <v>32.594879251523331</v>
      </c>
      <c r="S104">
        <f t="shared" si="38"/>
        <v>33.330776836553795</v>
      </c>
      <c r="T104">
        <f t="shared" si="38"/>
        <v>33.330776836553795</v>
      </c>
      <c r="U104">
        <f t="shared" si="38"/>
        <v>33.330776836553795</v>
      </c>
      <c r="V104">
        <f t="shared" si="38"/>
        <v>33.330776836553795</v>
      </c>
      <c r="W104">
        <f t="shared" si="38"/>
        <v>33.521032173607274</v>
      </c>
      <c r="X104">
        <f t="shared" si="38"/>
        <v>33.596474237954482</v>
      </c>
      <c r="Y104">
        <f t="shared" si="38"/>
        <v>33.672067186430354</v>
      </c>
      <c r="Z104">
        <f t="shared" si="38"/>
        <v>33.747811320803244</v>
      </c>
      <c r="AA104">
        <f t="shared" si="38"/>
        <v>33.972520465734483</v>
      </c>
      <c r="AB104">
        <f t="shared" si="38"/>
        <v>34.103247676223468</v>
      </c>
      <c r="AC104">
        <f t="shared" si="38"/>
        <v>34.256460666928326</v>
      </c>
      <c r="AD104">
        <f t="shared" si="38"/>
        <v>34.410286509596055</v>
      </c>
      <c r="AE104">
        <f t="shared" si="37"/>
        <v>34.738601270232657</v>
      </c>
      <c r="AF104">
        <f t="shared" si="37"/>
        <v>34.927349200212383</v>
      </c>
      <c r="AG104">
        <f t="shared" si="37"/>
        <v>35.162113295413654</v>
      </c>
      <c r="AH104">
        <f t="shared" si="37"/>
        <v>35.398285975186134</v>
      </c>
      <c r="AI104">
        <f t="shared" si="37"/>
        <v>35.627960625165585</v>
      </c>
      <c r="AJ104">
        <f t="shared" si="37"/>
        <v>35.627960625165585</v>
      </c>
      <c r="AK104">
        <f t="shared" si="37"/>
        <v>35.627960625165585</v>
      </c>
      <c r="AL104">
        <f t="shared" si="37"/>
        <v>35.627960625165585</v>
      </c>
      <c r="AM104">
        <f t="shared" si="37"/>
        <v>35.627960625165585</v>
      </c>
      <c r="AN104">
        <f t="shared" si="37"/>
        <v>35.627960625165585</v>
      </c>
      <c r="AO104">
        <f t="shared" si="37"/>
        <v>35.627960625165585</v>
      </c>
      <c r="AP104">
        <f t="shared" si="37"/>
        <v>35.627960625165585</v>
      </c>
    </row>
    <row r="105" spans="3:42">
      <c r="O105">
        <f t="shared" si="38"/>
        <v>27.5849635656927</v>
      </c>
      <c r="P105">
        <f t="shared" si="37"/>
        <v>27.584963565692711</v>
      </c>
      <c r="Q105">
        <f t="shared" si="37"/>
        <v>27.584963565692714</v>
      </c>
      <c r="R105">
        <f t="shared" si="37"/>
        <v>27.584963565692711</v>
      </c>
      <c r="S105">
        <f t="shared" si="37"/>
        <v>28.220662837006568</v>
      </c>
      <c r="T105">
        <f t="shared" si="37"/>
        <v>28.220662837006568</v>
      </c>
      <c r="U105">
        <f t="shared" si="37"/>
        <v>28.220662837006568</v>
      </c>
      <c r="V105">
        <f t="shared" si="37"/>
        <v>28.220662837006568</v>
      </c>
      <c r="W105">
        <f t="shared" si="37"/>
        <v>28.385013395547215</v>
      </c>
      <c r="X105">
        <f t="shared" si="37"/>
        <v>28.450183422338309</v>
      </c>
      <c r="Y105">
        <f t="shared" si="37"/>
        <v>28.515483789182984</v>
      </c>
      <c r="Z105">
        <f t="shared" si="37"/>
        <v>28.580914756761356</v>
      </c>
      <c r="AA105">
        <f t="shared" si="37"/>
        <v>28.775027962995654</v>
      </c>
      <c r="AB105">
        <f t="shared" si="37"/>
        <v>28.887955623228809</v>
      </c>
      <c r="AC105">
        <f t="shared" si="37"/>
        <v>29.020307445721723</v>
      </c>
      <c r="AD105">
        <f t="shared" si="37"/>
        <v>29.153188675504612</v>
      </c>
      <c r="AE105">
        <f t="shared" si="37"/>
        <v>29.436800768197674</v>
      </c>
      <c r="AF105">
        <f t="shared" si="37"/>
        <v>29.59984916513616</v>
      </c>
      <c r="AG105">
        <f t="shared" si="37"/>
        <v>29.802648260126983</v>
      </c>
      <c r="AH105">
        <f t="shared" si="37"/>
        <v>30.006664149687726</v>
      </c>
      <c r="AI105">
        <f t="shared" si="37"/>
        <v>30.205066767934074</v>
      </c>
      <c r="AJ105">
        <f t="shared" si="37"/>
        <v>30.205066767934074</v>
      </c>
      <c r="AK105">
        <f t="shared" si="37"/>
        <v>30.205066767934074</v>
      </c>
      <c r="AL105">
        <f t="shared" si="37"/>
        <v>30.205066767934074</v>
      </c>
      <c r="AM105">
        <f t="shared" si="37"/>
        <v>30.205066767934074</v>
      </c>
      <c r="AN105">
        <f t="shared" si="37"/>
        <v>30.165645325432518</v>
      </c>
      <c r="AO105">
        <f t="shared" si="37"/>
        <v>30.165645325432518</v>
      </c>
      <c r="AP105">
        <f t="shared" si="37"/>
        <v>30.165645325432518</v>
      </c>
    </row>
    <row r="106" spans="3:42">
      <c r="O106">
        <f t="shared" si="38"/>
        <v>39.809949552497592</v>
      </c>
      <c r="P106">
        <f t="shared" si="37"/>
        <v>39.809949552497592</v>
      </c>
      <c r="Q106">
        <f t="shared" si="37"/>
        <v>39.809949552497592</v>
      </c>
      <c r="R106">
        <f t="shared" si="37"/>
        <v>39.809949552497592</v>
      </c>
      <c r="S106">
        <f t="shared" si="37"/>
        <v>40.690148543547544</v>
      </c>
      <c r="T106">
        <f t="shared" si="37"/>
        <v>40.690148543547544</v>
      </c>
      <c r="U106">
        <f t="shared" si="37"/>
        <v>40.690148543547544</v>
      </c>
      <c r="V106">
        <f t="shared" si="37"/>
        <v>40.690148543547544</v>
      </c>
      <c r="W106">
        <f t="shared" si="37"/>
        <v>40.917710855373052</v>
      </c>
      <c r="X106">
        <f t="shared" si="37"/>
        <v>41.007946277083796</v>
      </c>
      <c r="Y106">
        <f t="shared" si="37"/>
        <v>41.098362169637987</v>
      </c>
      <c r="Z106">
        <f t="shared" si="37"/>
        <v>41.188958893977208</v>
      </c>
      <c r="AA106">
        <f t="shared" si="37"/>
        <v>41.457731025686286</v>
      </c>
      <c r="AB106">
        <f t="shared" si="37"/>
        <v>41.614092401393734</v>
      </c>
      <c r="AC106">
        <f t="shared" si="37"/>
        <v>41.797348770999292</v>
      </c>
      <c r="AD106">
        <f t="shared" si="37"/>
        <v>41.981338166083297</v>
      </c>
      <c r="AE106">
        <f t="shared" si="37"/>
        <v>42.374031832889095</v>
      </c>
      <c r="AF106">
        <f t="shared" si="37"/>
        <v>42.599791151726969</v>
      </c>
      <c r="AG106">
        <f t="shared" si="37"/>
        <v>42.880589898637346</v>
      </c>
      <c r="AH106">
        <f t="shared" si="37"/>
        <v>43.163073438029166</v>
      </c>
      <c r="AI106">
        <f t="shared" si="37"/>
        <v>43.437784755601001</v>
      </c>
      <c r="AJ106">
        <f t="shared" si="37"/>
        <v>43.437784755601001</v>
      </c>
      <c r="AK106">
        <f t="shared" si="37"/>
        <v>43.437784755601001</v>
      </c>
      <c r="AL106">
        <f t="shared" si="37"/>
        <v>43.437784755601001</v>
      </c>
      <c r="AM106">
        <f t="shared" si="37"/>
        <v>43.437784755601001</v>
      </c>
      <c r="AN106">
        <f t="shared" si="37"/>
        <v>43.437784755601001</v>
      </c>
      <c r="AO106">
        <f t="shared" si="37"/>
        <v>43.437784755601001</v>
      </c>
      <c r="AP106">
        <f t="shared" si="37"/>
        <v>43.437784755601001</v>
      </c>
    </row>
  </sheetData>
  <mergeCells count="35">
    <mergeCell ref="AM2:AP2"/>
    <mergeCell ref="AQ2:AT2"/>
    <mergeCell ref="A4:A8"/>
    <mergeCell ref="A9:A12"/>
    <mergeCell ref="A13:A16"/>
    <mergeCell ref="W2:Z2"/>
    <mergeCell ref="AA2:AD2"/>
    <mergeCell ref="AE2:AH2"/>
    <mergeCell ref="AI2:AL2"/>
    <mergeCell ref="A17:A20"/>
    <mergeCell ref="C1:V1"/>
    <mergeCell ref="C2:F2"/>
    <mergeCell ref="G2:J2"/>
    <mergeCell ref="K2:N2"/>
    <mergeCell ref="O2:R2"/>
    <mergeCell ref="S2:V2"/>
    <mergeCell ref="C24:F24"/>
    <mergeCell ref="G24:J24"/>
    <mergeCell ref="K24:N24"/>
    <mergeCell ref="O24:R24"/>
    <mergeCell ref="S24:V24"/>
    <mergeCell ref="Y31:Y34"/>
    <mergeCell ref="Y35:Y38"/>
    <mergeCell ref="Y39:Y42"/>
    <mergeCell ref="BO4:BO8"/>
    <mergeCell ref="BO9:BO12"/>
    <mergeCell ref="BO13:BO16"/>
    <mergeCell ref="BO17:BO20"/>
    <mergeCell ref="AA23:AT23"/>
    <mergeCell ref="AA24:AD24"/>
    <mergeCell ref="AE24:AH24"/>
    <mergeCell ref="AI24:AL24"/>
    <mergeCell ref="AM24:AP24"/>
    <mergeCell ref="AQ24:AT24"/>
    <mergeCell ref="Y26:Y30"/>
  </mergeCells>
  <conditionalFormatting sqref="BN4:BN20">
    <cfRule type="cellIs" dxfId="5" priority="1" operator="greaterThan">
      <formula>3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0F21D-81F1-42BD-B97B-7D23AB20451E}">
  <sheetPr codeName="Sheet4"/>
  <dimension ref="A1:BM136"/>
  <sheetViews>
    <sheetView tabSelected="1" zoomScale="70" zoomScaleNormal="70" workbookViewId="0">
      <pane xSplit="2" ySplit="3" topLeftCell="Z4" activePane="bottomRight" state="frozen"/>
      <selection pane="bottomRight" activeCell="B16" sqref="B16"/>
      <selection pane="bottomLeft" activeCell="A4" sqref="A4"/>
      <selection pane="topRight" activeCell="C1" sqref="C1"/>
    </sheetView>
  </sheetViews>
  <sheetFormatPr defaultColWidth="12.42578125" defaultRowHeight="14.45"/>
  <cols>
    <col min="3" max="22" width="8.85546875" customWidth="1"/>
  </cols>
  <sheetData>
    <row r="1" spans="1:65" ht="15" thickBot="1">
      <c r="A1">
        <f>A2*B2</f>
        <v>21.6</v>
      </c>
      <c r="C1" s="118" t="s">
        <v>63</v>
      </c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</row>
    <row r="2" spans="1:65">
      <c r="A2" s="17">
        <v>0.8</v>
      </c>
      <c r="B2">
        <v>27</v>
      </c>
      <c r="C2" s="127">
        <v>2023</v>
      </c>
      <c r="D2" s="127"/>
      <c r="E2" s="127"/>
      <c r="F2" s="127"/>
      <c r="G2" s="128">
        <f>C2+1</f>
        <v>2024</v>
      </c>
      <c r="H2" s="128"/>
      <c r="I2" s="128"/>
      <c r="J2" s="128"/>
      <c r="K2" s="129">
        <f t="shared" ref="K2" si="0">G2+1</f>
        <v>2025</v>
      </c>
      <c r="L2" s="129"/>
      <c r="M2" s="129"/>
      <c r="N2" s="129"/>
      <c r="O2" s="145">
        <f t="shared" ref="O2" si="1">K2+1</f>
        <v>2026</v>
      </c>
      <c r="P2" s="145"/>
      <c r="Q2" s="145"/>
      <c r="R2" s="145"/>
      <c r="S2" s="157">
        <f t="shared" ref="S2" si="2">O2+1</f>
        <v>2027</v>
      </c>
      <c r="T2" s="157"/>
      <c r="U2" s="157"/>
      <c r="V2" s="157"/>
      <c r="W2" s="127">
        <f t="shared" ref="W2" si="3">S2+1</f>
        <v>2028</v>
      </c>
      <c r="X2" s="127"/>
      <c r="Y2" s="127"/>
      <c r="Z2" s="127"/>
      <c r="AA2" s="129">
        <f t="shared" ref="AA2" si="4">W2+1</f>
        <v>2029</v>
      </c>
      <c r="AB2" s="129"/>
      <c r="AC2" s="129"/>
      <c r="AD2" s="129"/>
      <c r="AE2" s="157">
        <f t="shared" ref="AE2" si="5">AA2+1</f>
        <v>2030</v>
      </c>
      <c r="AF2" s="157"/>
      <c r="AG2" s="157"/>
      <c r="AH2" s="157"/>
      <c r="AI2" s="145">
        <f t="shared" ref="AI2" si="6">AE2+1</f>
        <v>2031</v>
      </c>
      <c r="AJ2" s="145"/>
      <c r="AK2" s="145"/>
      <c r="AL2" s="145"/>
      <c r="AM2" s="127">
        <f>AI2+1</f>
        <v>2032</v>
      </c>
      <c r="AN2" s="127"/>
      <c r="AO2" s="127"/>
      <c r="AP2" s="127"/>
      <c r="AQ2" s="145"/>
      <c r="AR2" s="145"/>
      <c r="AS2" s="145"/>
      <c r="AT2" s="145"/>
      <c r="BJ2" s="17"/>
      <c r="BK2" s="76" t="s">
        <v>64</v>
      </c>
      <c r="BL2" s="76" t="s">
        <v>65</v>
      </c>
      <c r="BM2" s="76" t="s">
        <v>66</v>
      </c>
    </row>
    <row r="3" spans="1:65" ht="15" thickBot="1">
      <c r="C3">
        <v>1</v>
      </c>
      <c r="D3">
        <v>2</v>
      </c>
      <c r="E3">
        <v>3</v>
      </c>
      <c r="F3">
        <v>4</v>
      </c>
      <c r="G3">
        <v>1</v>
      </c>
      <c r="H3">
        <v>2</v>
      </c>
      <c r="I3">
        <v>3</v>
      </c>
      <c r="J3">
        <v>4</v>
      </c>
      <c r="K3">
        <v>1</v>
      </c>
      <c r="L3">
        <v>2</v>
      </c>
      <c r="M3">
        <v>3</v>
      </c>
      <c r="N3">
        <v>4</v>
      </c>
      <c r="O3">
        <v>1</v>
      </c>
      <c r="P3">
        <v>2</v>
      </c>
      <c r="Q3">
        <v>3</v>
      </c>
      <c r="R3">
        <v>4</v>
      </c>
      <c r="S3">
        <v>1</v>
      </c>
      <c r="T3">
        <v>2</v>
      </c>
      <c r="U3">
        <v>3</v>
      </c>
      <c r="V3">
        <v>4</v>
      </c>
      <c r="W3">
        <v>1</v>
      </c>
      <c r="X3">
        <v>2</v>
      </c>
      <c r="Y3">
        <v>3</v>
      </c>
      <c r="Z3">
        <v>4</v>
      </c>
      <c r="AA3">
        <v>1</v>
      </c>
      <c r="AB3">
        <v>2</v>
      </c>
      <c r="AC3">
        <v>3</v>
      </c>
      <c r="AD3">
        <v>4</v>
      </c>
      <c r="AE3">
        <v>1</v>
      </c>
      <c r="AF3">
        <v>2</v>
      </c>
      <c r="AG3">
        <v>3</v>
      </c>
      <c r="AH3">
        <v>4</v>
      </c>
      <c r="AI3">
        <v>1</v>
      </c>
      <c r="AJ3">
        <v>2</v>
      </c>
      <c r="AK3">
        <v>3</v>
      </c>
      <c r="AL3">
        <v>4</v>
      </c>
      <c r="AM3">
        <v>1</v>
      </c>
      <c r="AN3">
        <v>2</v>
      </c>
      <c r="AO3">
        <v>3</v>
      </c>
      <c r="AP3">
        <v>4</v>
      </c>
      <c r="BH3" t="s">
        <v>67</v>
      </c>
      <c r="BI3" t="s">
        <v>68</v>
      </c>
      <c r="BK3" s="77"/>
      <c r="BL3" s="77"/>
      <c r="BM3" s="77"/>
    </row>
    <row r="4" spans="1:65">
      <c r="A4" s="107">
        <v>1</v>
      </c>
      <c r="B4" s="47" t="s">
        <v>14</v>
      </c>
      <c r="C4" s="83">
        <f>IF('Aglis Market Share'!C4*'Total Tonnage'!C4&gt;$A$1,$A$1,'Aglis Market Share'!C4*'Total Tonnage'!C4)</f>
        <v>7.1000000000000005</v>
      </c>
      <c r="D4" s="83">
        <f>IF('Aglis Market Share'!D4*'Total Tonnage'!D4&gt;$A$1,$A$1,'Aglis Market Share'!D4*'Total Tonnage'!D4)</f>
        <v>6.6370799999999983</v>
      </c>
      <c r="E4" s="83">
        <f>IF('Aglis Market Share'!E4*'Total Tonnage'!E4&gt;$A$1,$A$1,'Aglis Market Share'!E4*'Total Tonnage'!E4)</f>
        <v>7.037519999999998</v>
      </c>
      <c r="F4" s="83">
        <f>IF('Aglis Market Share'!F4*'Total Tonnage'!F4&gt;$A$1,$A$1,'Aglis Market Share'!F4*'Total Tonnage'!F4)</f>
        <v>7.4493199999999993</v>
      </c>
      <c r="G4" s="83">
        <f>IF('Aglis Market Share'!G4*'Total Tonnage'!G4&gt;$A$1,$A$1,'Aglis Market Share'!G4*'Total Tonnage'!G4)</f>
        <v>8.2037102870813428</v>
      </c>
      <c r="H4" s="83">
        <f>IF('Aglis Market Share'!H4*'Total Tonnage'!H4&gt;$A$1,$A$1,'Aglis Market Share'!H4*'Total Tonnage'!H4)</f>
        <v>8.4346921037089668</v>
      </c>
      <c r="I4" s="83">
        <f>IF('Aglis Market Share'!I4*'Total Tonnage'!I4&gt;$A$1,$A$1,'Aglis Market Share'!I4*'Total Tonnage'!I4)</f>
        <v>8.5769596650717741</v>
      </c>
      <c r="J4" s="83">
        <f>IF('Aglis Market Share'!J4*'Total Tonnage'!J4&gt;$A$1,$A$1,'Aglis Market Share'!J4*'Total Tonnage'!J4)</f>
        <v>8.7635843540669924</v>
      </c>
      <c r="K4" s="83">
        <f>IF('Aglis Market Share'!K4*'Total Tonnage'!K4&gt;$A$1,$A$1,'Aglis Market Share'!K4*'Total Tonnage'!K4)</f>
        <v>8.9873220000000007</v>
      </c>
      <c r="L4" s="83">
        <f>IF('Aglis Market Share'!L4*'Total Tonnage'!L4&gt;$A$1,$A$1,'Aglis Market Share'!L4*'Total Tonnage'!L4)</f>
        <v>9.0907377599999997</v>
      </c>
      <c r="M4" s="83">
        <f>IF('Aglis Market Share'!M4*'Total Tonnage'!M4&gt;$A$1,$A$1,'Aglis Market Share'!M4*'Total Tonnage'!M4)</f>
        <v>9.2519305019305058</v>
      </c>
      <c r="N4" s="83">
        <f>IF('Aglis Market Share'!N4*'Total Tonnage'!N4&gt;$A$1,$A$1,'Aglis Market Share'!N4*'Total Tonnage'!N4)</f>
        <v>9.2519305019305058</v>
      </c>
      <c r="O4" s="83">
        <f>IF('Aglis Market Share'!O4*'Total Tonnage'!O4&gt;$A$1,$A$1,'Aglis Market Share'!O4*'Total Tonnage'!O4)</f>
        <v>9.4369691119691161</v>
      </c>
      <c r="P4" s="83">
        <f>IF('Aglis Market Share'!P4*'Total Tonnage'!P4&gt;$A$1,$A$1,'Aglis Market Share'!P4*'Total Tonnage'!P4)</f>
        <v>9.4369691119691161</v>
      </c>
      <c r="Q4" s="83">
        <f>IF('Aglis Market Share'!Q4*'Total Tonnage'!Q4&gt;$A$1,$A$1,'Aglis Market Share'!Q4*'Total Tonnage'!Q4)</f>
        <v>9.4369691119691161</v>
      </c>
      <c r="R4" s="83">
        <f>IF('Aglis Market Share'!R4*'Total Tonnage'!R4&gt;$A$1,$A$1,'Aglis Market Share'!R4*'Total Tonnage'!R4)</f>
        <v>9.4282671024000013</v>
      </c>
      <c r="S4" s="83">
        <f>IF('Aglis Market Share'!S4*'Total Tonnage'!S4&gt;$A$1,$A$1,'Aglis Market Share'!S4*'Total Tonnage'!S4)</f>
        <v>9.6219559566720001</v>
      </c>
      <c r="T4" s="83">
        <f>IF('Aglis Market Share'!T4*'Total Tonnage'!T4&gt;$A$1,$A$1,'Aglis Market Share'!T4*'Total Tonnage'!T4)</f>
        <v>9.6257084942084976</v>
      </c>
      <c r="U4" s="83">
        <f>IF('Aglis Market Share'!U4*'Total Tonnage'!U4&gt;$A$1,$A$1,'Aglis Market Share'!U4*'Total Tonnage'!U4)</f>
        <v>9.6257084942084976</v>
      </c>
      <c r="V4" s="83">
        <f>IF('Aglis Market Share'!V4*'Total Tonnage'!V4&gt;$A$1,$A$1,'Aglis Market Share'!V4*'Total Tonnage'!V4)</f>
        <v>9.6257084942084976</v>
      </c>
      <c r="W4" s="83">
        <f>IF('Aglis Market Share'!W4*'Total Tonnage'!W4&gt;$A$1,$A$1,'Aglis Market Share'!W4*'Total Tonnage'!W4)</f>
        <v>9.8300730232108808</v>
      </c>
      <c r="X4" s="83">
        <f>IF('Aglis Market Share'!X4*'Total Tonnage'!X4&gt;$A$1,$A$1,'Aglis Market Share'!X4*'Total Tonnage'!X4)</f>
        <v>9.8300730232108791</v>
      </c>
      <c r="Y4" s="83">
        <f>IF('Aglis Market Share'!Y4*'Total Tonnage'!Y4&gt;$A$1,$A$1,'Aglis Market Share'!Y4*'Total Tonnage'!Y4)</f>
        <v>9.8300730232108791</v>
      </c>
      <c r="Z4" s="83">
        <f>IF('Aglis Market Share'!Z4*'Total Tonnage'!Z4&gt;$A$1,$A$1,'Aglis Market Share'!Z4*'Total Tonnage'!Z4)</f>
        <v>9.8300730232108791</v>
      </c>
      <c r="AA4" s="83">
        <f>IF('Aglis Market Share'!AA4*'Total Tonnage'!AA4&gt;$A$1,$A$1,'Aglis Market Share'!AA4*'Total Tonnage'!AA4)</f>
        <v>10.026674483675098</v>
      </c>
      <c r="AB4" s="83">
        <f>IF('Aglis Market Share'!AB4*'Total Tonnage'!AB4&gt;$A$1,$A$1,'Aglis Market Share'!AB4*'Total Tonnage'!AB4)</f>
        <v>10.0266744836751</v>
      </c>
      <c r="AC4" s="83">
        <f>IF('Aglis Market Share'!AC4*'Total Tonnage'!AC4&gt;$A$1,$A$1,'Aglis Market Share'!AC4*'Total Tonnage'!AC4)</f>
        <v>10.053326994264348</v>
      </c>
      <c r="AD4" s="83">
        <f>IF('Aglis Market Share'!AD4*'Total Tonnage'!AD4&gt;$A$1,$A$1,'Aglis Market Share'!AD4*'Total Tonnage'!AD4)</f>
        <v>10.014587117374521</v>
      </c>
      <c r="AE4" s="83">
        <f>IF('Aglis Market Share'!AE4*'Total Tonnage'!AE4&gt;$A$1,$A$1,'Aglis Market Share'!AE4*'Total Tonnage'!AE4)</f>
        <v>10.214878859722013</v>
      </c>
      <c r="AF4" s="83">
        <f>IF('Aglis Market Share'!AF4*'Total Tonnage'!AF4&gt;$A$1,$A$1,'Aglis Market Share'!AF4*'Total Tonnage'!AF4)</f>
        <v>10.214878859722013</v>
      </c>
      <c r="AG4" s="83">
        <f>IF('Aglis Market Share'!AG4*'Total Tonnage'!AG4&gt;$A$1,$A$1,'Aglis Market Share'!AG4*'Total Tonnage'!AG4)</f>
        <v>10.2272079733486</v>
      </c>
      <c r="AH4" s="83">
        <f>IF('Aglis Market Share'!AH4*'Total Tonnage'!AH4&gt;$A$1,$A$1,'Aglis Market Share'!AH4*'Total Tonnage'!AH4)</f>
        <v>10.2272079733486</v>
      </c>
      <c r="AI4" s="83">
        <f>IF('Aglis Market Share'!AI4*'Total Tonnage'!AI4&gt;$A$1,$A$1,'Aglis Market Share'!AI4*'Total Tonnage'!AI4)</f>
        <v>10.392931151991696</v>
      </c>
      <c r="AJ4" s="83">
        <f>IF('Aglis Market Share'!AJ4*'Total Tonnage'!AJ4&gt;$A$1,$A$1,'Aglis Market Share'!AJ4*'Total Tonnage'!AJ4)</f>
        <v>10.392931151991698</v>
      </c>
      <c r="AK4" s="83">
        <f>IF('Aglis Market Share'!AK4*'Total Tonnage'!AK4&gt;$A$1,$A$1,'Aglis Market Share'!AK4*'Total Tonnage'!AK4)</f>
        <v>10.392931151991698</v>
      </c>
      <c r="AL4" s="83">
        <f>IF('Aglis Market Share'!AL4*'Total Tonnage'!AL4&gt;$A$1,$A$1,'Aglis Market Share'!AL4*'Total Tonnage'!AL4)</f>
        <v>10.392931151991698</v>
      </c>
      <c r="AM4" s="83">
        <f>IF('Aglis Market Share'!AM4*'Total Tonnage'!AM4&gt;$A$1,$A$1,'Aglis Market Share'!AM4*'Total Tonnage'!AM4)</f>
        <v>10.549878831608222</v>
      </c>
      <c r="AN4" s="83">
        <f>IF('Aglis Market Share'!AN4*'Total Tonnage'!AN4&gt;$A$1,$A$1,'Aglis Market Share'!AN4*'Total Tonnage'!AN4)</f>
        <v>10.549878831608222</v>
      </c>
      <c r="AO4" s="83">
        <f>IF('Aglis Market Share'!AO4*'Total Tonnage'!AO4&gt;$A$1,$A$1,'Aglis Market Share'!AO4*'Total Tonnage'!AO4)</f>
        <v>10.549878831608222</v>
      </c>
      <c r="AP4" s="83">
        <f>IF('Aglis Market Share'!AP4*'Total Tonnage'!AP4&gt;$A$1,$A$1,'Aglis Market Share'!AP4*'Total Tonnage'!AP4)</f>
        <v>10.549878831608222</v>
      </c>
      <c r="AQ4" s="15"/>
      <c r="AR4" s="15"/>
      <c r="AS4" s="15"/>
      <c r="AT4" s="15"/>
      <c r="BH4" s="57">
        <f>V4/'Total Tonnage'!V4</f>
        <v>0.18787324150645957</v>
      </c>
      <c r="BI4" s="17">
        <f>V4/27</f>
        <v>0.35650772200772213</v>
      </c>
      <c r="BK4" s="22">
        <v>1</v>
      </c>
      <c r="BL4" s="23" t="s">
        <v>15</v>
      </c>
      <c r="BM4" s="24">
        <v>1023.54</v>
      </c>
    </row>
    <row r="5" spans="1:65">
      <c r="A5" s="108"/>
      <c r="B5" s="47" t="s">
        <v>16</v>
      </c>
      <c r="C5" s="83">
        <f>IF('Aglis Market Share'!C5*'Total Tonnage'!C5&gt;$A$1,$A$1,'Aglis Market Share'!C5*'Total Tonnage'!C5)</f>
        <v>12</v>
      </c>
      <c r="D5" s="83">
        <f>IF('Aglis Market Share'!D5*'Total Tonnage'!D5&gt;$A$1,$A$1,'Aglis Market Share'!D5*'Total Tonnage'!D5)</f>
        <v>12.403866666666666</v>
      </c>
      <c r="E5" s="83">
        <f>IF('Aglis Market Share'!E5*'Total Tonnage'!E5&gt;$A$1,$A$1,'Aglis Market Share'!E5*'Total Tonnage'!E5)</f>
        <v>12.706400000000002</v>
      </c>
      <c r="F5" s="83">
        <f>IF('Aglis Market Share'!F5*'Total Tonnage'!F5&gt;$A$1,$A$1,'Aglis Market Share'!F5*'Total Tonnage'!F5)</f>
        <v>13.008933333333333</v>
      </c>
      <c r="G5" s="83">
        <f>IF('Aglis Market Share'!G5*'Total Tonnage'!G5&gt;$A$1,$A$1,'Aglis Market Share'!G5*'Total Tonnage'!G5)</f>
        <v>14.209070901210247</v>
      </c>
      <c r="H5" s="83">
        <f>IF('Aglis Market Share'!H5*'Total Tonnage'!H5&gt;$A$1,$A$1,'Aglis Market Share'!H5*'Total Tonnage'!H5)</f>
        <v>14.609138296876401</v>
      </c>
      <c r="I5" s="83">
        <f>IF('Aglis Market Share'!I5*'Total Tonnage'!I5&gt;$A$1,$A$1,'Aglis Market Share'!I5*'Total Tonnage'!I5)</f>
        <v>14.855549956431187</v>
      </c>
      <c r="J5" s="83">
        <f>IF('Aglis Market Share'!J5*'Total Tonnage'!J5&gt;$A$1,$A$1,'Aglis Market Share'!J5*'Total Tonnage'!J5)</f>
        <v>15.17878948404166</v>
      </c>
      <c r="K5" s="83">
        <f>IF('Aglis Market Share'!K5*'Total Tonnage'!K5&gt;$A$1,$A$1,'Aglis Market Share'!K5*'Total Tonnage'!K5)</f>
        <v>15.860825768244529</v>
      </c>
      <c r="L5" s="83">
        <f>IF('Aglis Market Share'!L5*'Total Tonnage'!L5&gt;$A$1,$A$1,'Aglis Market Share'!L5*'Total Tonnage'!L5)</f>
        <v>15.997265153844529</v>
      </c>
      <c r="M5" s="83">
        <f>IF('Aglis Market Share'!M5*'Total Tonnage'!M5&gt;$A$1,$A$1,'Aglis Market Share'!M5*'Total Tonnage'!M5)</f>
        <v>16.133704539444526</v>
      </c>
      <c r="N5" s="83">
        <f>IF('Aglis Market Share'!N5*'Total Tonnage'!N5&gt;$A$1,$A$1,'Aglis Market Share'!N5*'Total Tonnage'!N5)</f>
        <v>16.270143925044525</v>
      </c>
      <c r="O5" s="83">
        <f>IF('Aglis Market Share'!O5*'Total Tonnage'!O5&gt;$A$1,$A$1,'Aglis Market Share'!O5*'Total Tonnage'!O5)</f>
        <v>16.270143925044525</v>
      </c>
      <c r="P5" s="83">
        <f>IF('Aglis Market Share'!P5*'Total Tonnage'!P5&gt;$A$1,$A$1,'Aglis Market Share'!P5*'Total Tonnage'!P5)</f>
        <v>16.270143925044525</v>
      </c>
      <c r="Q5" s="83">
        <f>IF('Aglis Market Share'!Q5*'Total Tonnage'!Q5&gt;$A$1,$A$1,'Aglis Market Share'!Q5*'Total Tonnage'!Q5)</f>
        <v>16.270143925044525</v>
      </c>
      <c r="R5" s="83">
        <f>IF('Aglis Market Share'!R5*'Total Tonnage'!R5&gt;$A$1,$A$1,'Aglis Market Share'!R5*'Total Tonnage'!R5)</f>
        <v>16.270143925044525</v>
      </c>
      <c r="S5" s="83">
        <f>IF('Aglis Market Share'!S5*'Total Tonnage'!S5&gt;$A$1,$A$1,'Aglis Market Share'!S5*'Total Tonnage'!S5)</f>
        <v>16.270143925044525</v>
      </c>
      <c r="T5" s="83">
        <f>IF('Aglis Market Share'!T5*'Total Tonnage'!T5&gt;$A$1,$A$1,'Aglis Market Share'!T5*'Total Tonnage'!T5)</f>
        <v>16.270143925044525</v>
      </c>
      <c r="U5" s="83">
        <f>IF('Aglis Market Share'!U5*'Total Tonnage'!U5&gt;$A$1,$A$1,'Aglis Market Share'!U5*'Total Tonnage'!U5)</f>
        <v>16.374097742644526</v>
      </c>
      <c r="V5" s="83">
        <f>IF('Aglis Market Share'!V5*'Total Tonnage'!V5&gt;$A$1,$A$1,'Aglis Market Share'!V5*'Total Tonnage'!V5)</f>
        <v>16.374097742644526</v>
      </c>
      <c r="W5" s="83">
        <f>IF('Aglis Market Share'!W5*'Total Tonnage'!W5&gt;$A$1,$A$1,'Aglis Market Share'!W5*'Total Tonnage'!W5)</f>
        <v>16.374097742644526</v>
      </c>
      <c r="X5" s="83">
        <f>IF('Aglis Market Share'!X5*'Total Tonnage'!X5&gt;$A$1,$A$1,'Aglis Market Share'!X5*'Total Tonnage'!X5)</f>
        <v>16.478051560244527</v>
      </c>
      <c r="Y5" s="83">
        <f>IF('Aglis Market Share'!Y5*'Total Tonnage'!Y5&gt;$A$1,$A$1,'Aglis Market Share'!Y5*'Total Tonnage'!Y5)</f>
        <v>16.478051560244527</v>
      </c>
      <c r="Z5" s="83">
        <f>IF('Aglis Market Share'!Z5*'Total Tonnage'!Z5&gt;$A$1,$A$1,'Aglis Market Share'!Z5*'Total Tonnage'!Z5)</f>
        <v>16.478051560244527</v>
      </c>
      <c r="AA5" s="83">
        <f>IF('Aglis Market Share'!AA5*'Total Tonnage'!AA5&gt;$A$1,$A$1,'Aglis Market Share'!AA5*'Total Tonnage'!AA5)</f>
        <v>16.478051560244527</v>
      </c>
      <c r="AB5" s="83">
        <f>IF('Aglis Market Share'!AB5*'Total Tonnage'!AB5&gt;$A$1,$A$1,'Aglis Market Share'!AB5*'Total Tonnage'!AB5)</f>
        <v>16.478051560244527</v>
      </c>
      <c r="AC5" s="83">
        <f>IF('Aglis Market Share'!AC5*'Total Tonnage'!AC5&gt;$A$1,$A$1,'Aglis Market Share'!AC5*'Total Tonnage'!AC5)</f>
        <v>15.997174054352177</v>
      </c>
      <c r="AD5" s="83">
        <f>IF('Aglis Market Share'!AD5*'Total Tonnage'!AD5&gt;$A$1,$A$1,'Aglis Market Share'!AD5*'Total Tonnage'!AD5)</f>
        <v>15.997174054352177</v>
      </c>
      <c r="AE5" s="83">
        <f>IF('Aglis Market Share'!AE5*'Total Tonnage'!AE5&gt;$A$1,$A$1,'Aglis Market Share'!AE5*'Total Tonnage'!AE5)</f>
        <v>15.997174054352177</v>
      </c>
      <c r="AF5" s="83">
        <f>IF('Aglis Market Share'!AF5*'Total Tonnage'!AF5&gt;$A$1,$A$1,'Aglis Market Share'!AF5*'Total Tonnage'!AF5)</f>
        <v>15.997174054352177</v>
      </c>
      <c r="AG5" s="83">
        <f>IF('Aglis Market Share'!AG5*'Total Tonnage'!AG5&gt;$A$1,$A$1,'Aglis Market Share'!AG5*'Total Tonnage'!AG5)</f>
        <v>16.517034241844524</v>
      </c>
      <c r="AH5" s="83">
        <f>IF('Aglis Market Share'!AH5*'Total Tonnage'!AH5&gt;$A$1,$A$1,'Aglis Market Share'!AH5*'Total Tonnage'!AH5)</f>
        <v>16.588502491444526</v>
      </c>
      <c r="AI5" s="83">
        <f>IF('Aglis Market Share'!AI5*'Total Tonnage'!AI5&gt;$A$1,$A$1,'Aglis Market Share'!AI5*'Total Tonnage'!AI5)</f>
        <v>16.471554446644525</v>
      </c>
      <c r="AJ5" s="83">
        <f>IF('Aglis Market Share'!AJ5*'Total Tonnage'!AJ5&gt;$A$1,$A$1,'Aglis Market Share'!AJ5*'Total Tonnage'!AJ5)</f>
        <v>16.471554446644525</v>
      </c>
      <c r="AK5" s="83">
        <f>IF('Aglis Market Share'!AK5*'Total Tonnage'!AK5&gt;$A$1,$A$1,'Aglis Market Share'!AK5*'Total Tonnage'!AK5)</f>
        <v>16.471554446644525</v>
      </c>
      <c r="AL5" s="83">
        <f>IF('Aglis Market Share'!AL5*'Total Tonnage'!AL5&gt;$A$1,$A$1,'Aglis Market Share'!AL5*'Total Tonnage'!AL5)</f>
        <v>16.543022696244524</v>
      </c>
      <c r="AM5" s="83">
        <f>IF('Aglis Market Share'!AM5*'Total Tonnage'!AM5&gt;$A$1,$A$1,'Aglis Market Share'!AM5*'Total Tonnage'!AM5)</f>
        <v>16.413080424244527</v>
      </c>
      <c r="AN5" s="83">
        <f>IF('Aglis Market Share'!AN5*'Total Tonnage'!AN5&gt;$A$1,$A$1,'Aglis Market Share'!AN5*'Total Tonnage'!AN5)</f>
        <v>16.413080424244527</v>
      </c>
      <c r="AO5" s="83">
        <f>IF('Aglis Market Share'!AO5*'Total Tonnage'!AO5&gt;$A$1,$A$1,'Aglis Market Share'!AO5*'Total Tonnage'!AO5)</f>
        <v>16.413080424244527</v>
      </c>
      <c r="AP5" s="83">
        <f>IF('Aglis Market Share'!AP5*'Total Tonnage'!AP5&gt;$A$1,$A$1,'Aglis Market Share'!AP5*'Total Tonnage'!AP5)</f>
        <v>16.484548673844525</v>
      </c>
      <c r="AQ5" s="15"/>
      <c r="AR5" s="15"/>
      <c r="AS5" s="15"/>
      <c r="AT5" s="15"/>
      <c r="BH5" s="57">
        <f>V5/'Total Tonnage'!V5</f>
        <v>0.25202110892203783</v>
      </c>
      <c r="BI5" s="17">
        <f>V5/27</f>
        <v>0.60644806454238986</v>
      </c>
      <c r="BK5" s="25">
        <v>2</v>
      </c>
      <c r="BL5" s="21" t="s">
        <v>69</v>
      </c>
      <c r="BM5" s="26">
        <v>584.19000000000005</v>
      </c>
    </row>
    <row r="6" spans="1:65">
      <c r="A6" s="108"/>
      <c r="B6" s="47" t="s">
        <v>18</v>
      </c>
      <c r="C6" s="83">
        <f>IF('Aglis Market Share'!C6*'Total Tonnage'!C6&gt;$A$1,$A$1,'Aglis Market Share'!C6*'Total Tonnage'!C6)</f>
        <v>16.243999999999996</v>
      </c>
      <c r="D6" s="83">
        <f>IF('Aglis Market Share'!D6*'Total Tonnage'!D6&gt;$A$1,$A$1,'Aglis Market Share'!D6*'Total Tonnage'!D6)</f>
        <v>16.650099999999998</v>
      </c>
      <c r="E6" s="83">
        <f>IF('Aglis Market Share'!E6*'Total Tonnage'!E6&gt;$A$1,$A$1,'Aglis Market Share'!E6*'Total Tonnage'!E6)</f>
        <v>17.0562</v>
      </c>
      <c r="F6" s="83">
        <f>IF('Aglis Market Share'!F6*'Total Tonnage'!F6&gt;$A$1,$A$1,'Aglis Market Share'!F6*'Total Tonnage'!F6)</f>
        <v>17.462299999999999</v>
      </c>
      <c r="G6" s="83">
        <f>IF('Aglis Market Share'!G6*'Total Tonnage'!G6&gt;$A$1,$A$1,'Aglis Market Share'!G6*'Total Tonnage'!G6)</f>
        <v>18.783211448353505</v>
      </c>
      <c r="H6" s="83">
        <f>IF('Aglis Market Share'!H6*'Total Tonnage'!H6&gt;$A$1,$A$1,'Aglis Market Share'!H6*'Total Tonnage'!H6)</f>
        <v>19.312067313640906</v>
      </c>
      <c r="I6" s="83">
        <f>IF('Aglis Market Share'!I6*'Total Tonnage'!I6&gt;$A$1,$A$1,'Aglis Market Share'!I6*'Total Tonnage'!I6)</f>
        <v>19.637803059273857</v>
      </c>
      <c r="J6" s="83">
        <f>IF('Aglis Market Share'!J6*'Total Tonnage'!J6&gt;$A$1,$A$1,'Aglis Market Share'!J6*'Total Tonnage'!J6)</f>
        <v>20.06509886473404</v>
      </c>
      <c r="K6" s="83">
        <f>IF('Aglis Market Share'!K6*'Total Tonnage'!K6&gt;$A$1,$A$1,'Aglis Market Share'!K6*'Total Tonnage'!K6)</f>
        <v>21.542993989442756</v>
      </c>
      <c r="L6" s="83">
        <f>IF('Aglis Market Share'!L6*'Total Tonnage'!L6&gt;$A$1,$A$1,'Aglis Market Share'!L6*'Total Tonnage'!L6)</f>
        <v>21.6</v>
      </c>
      <c r="M6" s="83">
        <f>IF('Aglis Market Share'!M6*'Total Tonnage'!M6&gt;$A$1,$A$1,'Aglis Market Share'!M6*'Total Tonnage'!M6)</f>
        <v>21.6</v>
      </c>
      <c r="N6" s="83">
        <f>IF('Aglis Market Share'!N6*'Total Tonnage'!N6&gt;$A$1,$A$1,'Aglis Market Share'!N6*'Total Tonnage'!N6)</f>
        <v>21.6</v>
      </c>
      <c r="O6" s="83">
        <f>IF('Aglis Market Share'!O6*'Total Tonnage'!O6&gt;$A$1,$A$1,'Aglis Market Share'!O6*'Total Tonnage'!O6)</f>
        <v>21.6</v>
      </c>
      <c r="P6" s="83">
        <f>IF('Aglis Market Share'!P6*'Total Tonnage'!P6&gt;$A$1,$A$1,'Aglis Market Share'!P6*'Total Tonnage'!P6)</f>
        <v>21.6</v>
      </c>
      <c r="Q6" s="83">
        <f>IF('Aglis Market Share'!Q6*'Total Tonnage'!Q6&gt;$A$1,$A$1,'Aglis Market Share'!Q6*'Total Tonnage'!Q6)</f>
        <v>21.6</v>
      </c>
      <c r="R6" s="83">
        <f>IF('Aglis Market Share'!R6*'Total Tonnage'!R6&gt;$A$1,$A$1,'Aglis Market Share'!R6*'Total Tonnage'!R6)</f>
        <v>21.6</v>
      </c>
      <c r="S6" s="83">
        <f>IF('Aglis Market Share'!S6*'Total Tonnage'!S6&gt;$A$1,$A$1,'Aglis Market Share'!S6*'Total Tonnage'!S6)</f>
        <v>21.6</v>
      </c>
      <c r="T6" s="83">
        <f>IF('Aglis Market Share'!T6*'Total Tonnage'!T6&gt;$A$1,$A$1,'Aglis Market Share'!T6*'Total Tonnage'!T6)</f>
        <v>21.6</v>
      </c>
      <c r="U6" s="83">
        <f>IF('Aglis Market Share'!U6*'Total Tonnage'!U6&gt;$A$1,$A$1,'Aglis Market Share'!U6*'Total Tonnage'!U6)</f>
        <v>21.6</v>
      </c>
      <c r="V6" s="83">
        <f>IF('Aglis Market Share'!V6*'Total Tonnage'!V6&gt;$A$1,$A$1,'Aglis Market Share'!V6*'Total Tonnage'!V6)</f>
        <v>21.6</v>
      </c>
      <c r="W6" s="83">
        <f>IF('Aglis Market Share'!W6*'Total Tonnage'!W6&gt;$A$1,$A$1,'Aglis Market Share'!W6*'Total Tonnage'!W6)</f>
        <v>21.6</v>
      </c>
      <c r="X6" s="83">
        <f>IF('Aglis Market Share'!X6*'Total Tonnage'!X6&gt;$A$1,$A$1,'Aglis Market Share'!X6*'Total Tonnage'!X6)</f>
        <v>21.6</v>
      </c>
      <c r="Y6" s="83">
        <f>IF('Aglis Market Share'!Y6*'Total Tonnage'!Y6&gt;$A$1,$A$1,'Aglis Market Share'!Y6*'Total Tonnage'!Y6)</f>
        <v>21.6</v>
      </c>
      <c r="Z6" s="83">
        <f>IF('Aglis Market Share'!Z6*'Total Tonnage'!Z6&gt;$A$1,$A$1,'Aglis Market Share'!Z6*'Total Tonnage'!Z6)</f>
        <v>21.6</v>
      </c>
      <c r="AA6" s="83">
        <f>IF('Aglis Market Share'!AA6*'Total Tonnage'!AA6&gt;$A$1,$A$1,'Aglis Market Share'!AA6*'Total Tonnage'!AA6)</f>
        <v>21.6</v>
      </c>
      <c r="AB6" s="83">
        <f>IF('Aglis Market Share'!AB6*'Total Tonnage'!AB6&gt;$A$1,$A$1,'Aglis Market Share'!AB6*'Total Tonnage'!AB6)</f>
        <v>21.6</v>
      </c>
      <c r="AC6" s="83">
        <f>IF('Aglis Market Share'!AC6*'Total Tonnage'!AC6&gt;$A$1,$A$1,'Aglis Market Share'!AC6*'Total Tonnage'!AC6)</f>
        <v>21.6</v>
      </c>
      <c r="AD6" s="83">
        <f>IF('Aglis Market Share'!AD6*'Total Tonnage'!AD6&gt;$A$1,$A$1,'Aglis Market Share'!AD6*'Total Tonnage'!AD6)</f>
        <v>21.6</v>
      </c>
      <c r="AE6" s="83">
        <f>IF('Aglis Market Share'!AE6*'Total Tonnage'!AE6&gt;$A$1,$A$1,'Aglis Market Share'!AE6*'Total Tonnage'!AE6)</f>
        <v>21.6</v>
      </c>
      <c r="AF6" s="83">
        <f>IF('Aglis Market Share'!AF6*'Total Tonnage'!AF6&gt;$A$1,$A$1,'Aglis Market Share'!AF6*'Total Tonnage'!AF6)</f>
        <v>21.6</v>
      </c>
      <c r="AG6" s="83">
        <f>IF('Aglis Market Share'!AG6*'Total Tonnage'!AG6&gt;$A$1,$A$1,'Aglis Market Share'!AG6*'Total Tonnage'!AG6)</f>
        <v>21.6</v>
      </c>
      <c r="AH6" s="83">
        <f>IF('Aglis Market Share'!AH6*'Total Tonnage'!AH6&gt;$A$1,$A$1,'Aglis Market Share'!AH6*'Total Tonnage'!AH6)</f>
        <v>21.6</v>
      </c>
      <c r="AI6" s="83">
        <f>IF('Aglis Market Share'!AI6*'Total Tonnage'!AI6&gt;$A$1,$A$1,'Aglis Market Share'!AI6*'Total Tonnage'!AI6)</f>
        <v>21.6</v>
      </c>
      <c r="AJ6" s="83">
        <f>IF('Aglis Market Share'!AJ6*'Total Tonnage'!AJ6&gt;$A$1,$A$1,'Aglis Market Share'!AJ6*'Total Tonnage'!AJ6)</f>
        <v>21.6</v>
      </c>
      <c r="AK6" s="83">
        <f>IF('Aglis Market Share'!AK6*'Total Tonnage'!AK6&gt;$A$1,$A$1,'Aglis Market Share'!AK6*'Total Tonnage'!AK6)</f>
        <v>21.6</v>
      </c>
      <c r="AL6" s="83">
        <f>IF('Aglis Market Share'!AL6*'Total Tonnage'!AL6&gt;$A$1,$A$1,'Aglis Market Share'!AL6*'Total Tonnage'!AL6)</f>
        <v>21.6</v>
      </c>
      <c r="AM6" s="83">
        <f>IF('Aglis Market Share'!AM6*'Total Tonnage'!AM6&gt;$A$1,$A$1,'Aglis Market Share'!AM6*'Total Tonnage'!AM6)</f>
        <v>21.6</v>
      </c>
      <c r="AN6" s="83">
        <f>IF('Aglis Market Share'!AN6*'Total Tonnage'!AN6&gt;$A$1,$A$1,'Aglis Market Share'!AN6*'Total Tonnage'!AN6)</f>
        <v>21.6</v>
      </c>
      <c r="AO6" s="83">
        <f>IF('Aglis Market Share'!AO6*'Total Tonnage'!AO6&gt;$A$1,$A$1,'Aglis Market Share'!AO6*'Total Tonnage'!AO6)</f>
        <v>21.6</v>
      </c>
      <c r="AP6" s="83">
        <f>IF('Aglis Market Share'!AP6*'Total Tonnage'!AP6&gt;$A$1,$A$1,'Aglis Market Share'!AP6*'Total Tonnage'!AP6)</f>
        <v>21.6</v>
      </c>
      <c r="AQ6" s="15"/>
      <c r="AR6" s="15"/>
      <c r="AS6" s="15"/>
      <c r="AT6" s="15"/>
      <c r="BH6" s="57">
        <f>V6/'Total Tonnage'!V6</f>
        <v>0.25523911367366986</v>
      </c>
      <c r="BI6" s="17">
        <f>V6/27</f>
        <v>0.8</v>
      </c>
      <c r="BK6" s="25">
        <v>3</v>
      </c>
      <c r="BL6" s="21" t="s">
        <v>16</v>
      </c>
      <c r="BM6" s="26">
        <v>917.32</v>
      </c>
    </row>
    <row r="7" spans="1:65">
      <c r="A7" s="108"/>
      <c r="B7" s="47" t="s">
        <v>15</v>
      </c>
      <c r="C7" s="83">
        <f>IF('Aglis Market Share'!C7*'Total Tonnage'!C7&gt;$A$1,$A$1,'Aglis Market Share'!C7*'Total Tonnage'!C7)</f>
        <v>8.9519999999999964</v>
      </c>
      <c r="D7" s="83">
        <f>IF('Aglis Market Share'!D7*'Total Tonnage'!D7&gt;$A$1,$A$1,'Aglis Market Share'!D7*'Total Tonnage'!D7)</f>
        <v>9.1011999999999968</v>
      </c>
      <c r="E7" s="83">
        <f>IF('Aglis Market Share'!E7*'Total Tonnage'!E7&gt;$A$1,$A$1,'Aglis Market Share'!E7*'Total Tonnage'!E7)</f>
        <v>9.2563679999999966</v>
      </c>
      <c r="F7" s="83">
        <f>IF('Aglis Market Share'!F7*'Total Tonnage'!F7&gt;$A$1,$A$1,'Aglis Market Share'!F7*'Total Tonnage'!F7)</f>
        <v>9.3876639999999956</v>
      </c>
      <c r="G7" s="83">
        <f>IF('Aglis Market Share'!G7*'Total Tonnage'!G7&gt;$A$1,$A$1,'Aglis Market Share'!G7*'Total Tonnage'!G7)</f>
        <v>9.8128243199999972</v>
      </c>
      <c r="H7" s="83">
        <f>IF('Aglis Market Share'!H7*'Total Tonnage'!H7&gt;$A$1,$A$1,'Aglis Market Share'!H7*'Total Tonnage'!H7)</f>
        <v>9.9041347199999983</v>
      </c>
      <c r="I7" s="83">
        <f>IF('Aglis Market Share'!I7*'Total Tonnage'!I7&gt;$A$1,$A$1,'Aglis Market Share'!I7*'Total Tonnage'!I7)</f>
        <v>9.9041347199999983</v>
      </c>
      <c r="J7" s="83">
        <f>IF('Aglis Market Share'!J7*'Total Tonnage'!J7&gt;$A$1,$A$1,'Aglis Market Share'!J7*'Total Tonnage'!J7)</f>
        <v>9.9589209599999968</v>
      </c>
      <c r="K7" s="83">
        <f>IF('Aglis Market Share'!K7*'Total Tonnage'!K7&gt;$A$1,$A$1,'Aglis Market Share'!K7*'Total Tonnage'!K7)</f>
        <v>10.276072415999998</v>
      </c>
      <c r="L7" s="83">
        <f>IF('Aglis Market Share'!L7*'Total Tonnage'!L7&gt;$A$1,$A$1,'Aglis Market Share'!L7*'Total Tonnage'!L7)</f>
        <v>10.375418131199998</v>
      </c>
      <c r="M7" s="83">
        <f>IF('Aglis Market Share'!M7*'Total Tonnage'!M7&gt;$A$1,$A$1,'Aglis Market Share'!M7*'Total Tonnage'!M7)</f>
        <v>10.412672774399997</v>
      </c>
      <c r="N7" s="83">
        <f>IF('Aglis Market Share'!N7*'Total Tonnage'!N7&gt;$A$1,$A$1,'Aglis Market Share'!N7*'Total Tonnage'!N7)</f>
        <v>10.487182060799997</v>
      </c>
      <c r="O7" s="83">
        <f>IF('Aglis Market Share'!O7*'Total Tonnage'!O7&gt;$A$1,$A$1,'Aglis Market Share'!O7*'Total Tonnage'!O7)</f>
        <v>10.829924778239999</v>
      </c>
      <c r="P7" s="83">
        <f>IF('Aglis Market Share'!P7*'Total Tonnage'!P7&gt;$A$1,$A$1,'Aglis Market Share'!P7*'Total Tonnage'!P7)</f>
        <v>10.994590301183997</v>
      </c>
      <c r="Q7" s="83">
        <f>IF('Aglis Market Share'!Q7*'Total Tonnage'!Q7&gt;$A$1,$A$1,'Aglis Market Share'!Q7*'Total Tonnage'!Q7)</f>
        <v>11.190922270847997</v>
      </c>
      <c r="R7" s="83">
        <f>IF('Aglis Market Share'!R7*'Total Tonnage'!R7&gt;$A$1,$A$1,'Aglis Market Share'!R7*'Total Tonnage'!R7)</f>
        <v>11.463253712639998</v>
      </c>
      <c r="S7" s="83">
        <f>IF('Aglis Market Share'!S7*'Total Tonnage'!S7&gt;$A$1,$A$1,'Aglis Market Share'!S7*'Total Tonnage'!S7)</f>
        <v>11.841097754903037</v>
      </c>
      <c r="T7" s="83">
        <f>IF('Aglis Market Share'!T7*'Total Tonnage'!T7&gt;$A$1,$A$1,'Aglis Market Share'!T7*'Total Tonnage'!T7)</f>
        <v>12.164095511447037</v>
      </c>
      <c r="U7" s="83">
        <f>IF('Aglis Market Share'!U7*'Total Tonnage'!U7&gt;$A$1,$A$1,'Aglis Market Share'!U7*'Total Tonnage'!U7)</f>
        <v>12.487093267991037</v>
      </c>
      <c r="V7" s="83">
        <f>IF('Aglis Market Share'!V7*'Total Tonnage'!V7&gt;$A$1,$A$1,'Aglis Market Share'!V7*'Total Tonnage'!V7)</f>
        <v>12.810091024535039</v>
      </c>
      <c r="W7" s="83">
        <f>IF('Aglis Market Share'!W7*'Total Tonnage'!W7&gt;$A$1,$A$1,'Aglis Market Share'!W7*'Total Tonnage'!W7)</f>
        <v>13.222288814023656</v>
      </c>
      <c r="X7" s="83">
        <f>IF('Aglis Market Share'!X7*'Total Tonnage'!X7&gt;$A$1,$A$1,'Aglis Market Share'!X7*'Total Tonnage'!X7)</f>
        <v>13.547480373640569</v>
      </c>
      <c r="Y7" s="83">
        <f>IF('Aglis Market Share'!Y7*'Total Tonnage'!Y7&gt;$A$1,$A$1,'Aglis Market Share'!Y7*'Total Tonnage'!Y7)</f>
        <v>13.872671933257481</v>
      </c>
      <c r="Z7" s="83">
        <f>IF('Aglis Market Share'!Z7*'Total Tonnage'!Z7&gt;$A$1,$A$1,'Aglis Market Share'!Z7*'Total Tonnage'!Z7)</f>
        <v>14.197863492874394</v>
      </c>
      <c r="AA7" s="83">
        <f>IF('Aglis Market Share'!AA7*'Total Tonnage'!AA7&gt;$A$1,$A$1,'Aglis Market Share'!AA7*'Total Tonnage'!AA7)</f>
        <v>14.523055052491307</v>
      </c>
      <c r="AB7" s="83">
        <f>IF('Aglis Market Share'!AB7*'Total Tonnage'!AB7&gt;$A$1,$A$1,'Aglis Market Share'!AB7*'Total Tonnage'!AB7)</f>
        <v>14.523055052491307</v>
      </c>
      <c r="AC7" s="83">
        <f>IF('Aglis Market Share'!AC7*'Total Tonnage'!AC7&gt;$A$1,$A$1,'Aglis Market Share'!AC7*'Total Tonnage'!AC7)</f>
        <v>14.523055052491307</v>
      </c>
      <c r="AD7" s="83">
        <f>IF('Aglis Market Share'!AD7*'Total Tonnage'!AD7&gt;$A$1,$A$1,'Aglis Market Share'!AD7*'Total Tonnage'!AD7)</f>
        <v>14.523055052491307</v>
      </c>
      <c r="AE7" s="83">
        <f>IF('Aglis Market Share'!AE7*'Total Tonnage'!AE7&gt;$A$1,$A$1,'Aglis Market Share'!AE7*'Total Tonnage'!AE7)</f>
        <v>14.523055052491307</v>
      </c>
      <c r="AF7" s="83">
        <f>IF('Aglis Market Share'!AF7*'Total Tonnage'!AF7&gt;$A$1,$A$1,'Aglis Market Share'!AF7*'Total Tonnage'!AF7)</f>
        <v>14.523055052491307</v>
      </c>
      <c r="AG7" s="83">
        <f>IF('Aglis Market Share'!AG7*'Total Tonnage'!AG7&gt;$A$1,$A$1,'Aglis Market Share'!AG7*'Total Tonnage'!AG7)</f>
        <v>14.523055052491307</v>
      </c>
      <c r="AH7" s="83">
        <f>IF('Aglis Market Share'!AH7*'Total Tonnage'!AH7&gt;$A$1,$A$1,'Aglis Market Share'!AH7*'Total Tonnage'!AH7)</f>
        <v>14.523055052491307</v>
      </c>
      <c r="AI7" s="83">
        <f>IF('Aglis Market Share'!AI7*'Total Tonnage'!AI7&gt;$A$1,$A$1,'Aglis Market Share'!AI7*'Total Tonnage'!AI7)</f>
        <v>14.523055052491307</v>
      </c>
      <c r="AJ7" s="83">
        <f>IF('Aglis Market Share'!AJ7*'Total Tonnage'!AJ7&gt;$A$1,$A$1,'Aglis Market Share'!AJ7*'Total Tonnage'!AJ7)</f>
        <v>14.445009078183247</v>
      </c>
      <c r="AK7" s="83">
        <f>IF('Aglis Market Share'!AK7*'Total Tonnage'!AK7&gt;$A$1,$A$1,'Aglis Market Share'!AK7*'Total Tonnage'!AK7)</f>
        <v>14.445009078183247</v>
      </c>
      <c r="AL7" s="83">
        <f>IF('Aglis Market Share'!AL7*'Total Tonnage'!AL7&gt;$A$1,$A$1,'Aglis Market Share'!AL7*'Total Tonnage'!AL7)</f>
        <v>14.445009078183247</v>
      </c>
      <c r="AM7" s="83">
        <f>IF('Aglis Market Share'!AM7*'Total Tonnage'!AM7&gt;$A$1,$A$1,'Aglis Market Share'!AM7*'Total Tonnage'!AM7)</f>
        <v>14.386474597452203</v>
      </c>
      <c r="AN7" s="83">
        <f>IF('Aglis Market Share'!AN7*'Total Tonnage'!AN7&gt;$A$1,$A$1,'Aglis Market Share'!AN7*'Total Tonnage'!AN7)</f>
        <v>14.386474597452203</v>
      </c>
      <c r="AO7" s="83">
        <f>IF('Aglis Market Share'!AO7*'Total Tonnage'!AO7&gt;$A$1,$A$1,'Aglis Market Share'!AO7*'Total Tonnage'!AO7)</f>
        <v>14.386474597452203</v>
      </c>
      <c r="AP7" s="83">
        <f>IF('Aglis Market Share'!AP7*'Total Tonnage'!AP7&gt;$A$1,$A$1,'Aglis Market Share'!AP7*'Total Tonnage'!AP7)</f>
        <v>14.386474597452203</v>
      </c>
      <c r="AQ7" s="15"/>
      <c r="AR7" s="15"/>
      <c r="AS7" s="15"/>
      <c r="AT7" s="15"/>
      <c r="BH7" s="57">
        <f>V7/'Total Tonnage'!V7</f>
        <v>0.1983</v>
      </c>
      <c r="BI7" s="17">
        <f>V7/27</f>
        <v>0.47444781572351996</v>
      </c>
      <c r="BK7" s="25">
        <v>4</v>
      </c>
      <c r="BL7" s="21" t="s">
        <v>18</v>
      </c>
      <c r="BM7" s="26">
        <v>418.43</v>
      </c>
    </row>
    <row r="8" spans="1:65">
      <c r="A8" s="109"/>
      <c r="B8" s="47" t="s">
        <v>17</v>
      </c>
      <c r="C8" s="83">
        <f>IF('Aglis Market Share'!C8*'Total Tonnage'!C8&gt;$A$1,$A$1,'Aglis Market Share'!C8*'Total Tonnage'!C8)</f>
        <v>12.041999999999998</v>
      </c>
      <c r="D8" s="83">
        <f>IF('Aglis Market Share'!D8*'Total Tonnage'!D8&gt;$A$1,$A$1,'Aglis Market Share'!D8*'Total Tonnage'!D8)</f>
        <v>12.041999999999998</v>
      </c>
      <c r="E8" s="83">
        <f>IF('Aglis Market Share'!E8*'Total Tonnage'!E8&gt;$A$1,$A$1,'Aglis Market Share'!E8*'Total Tonnage'!E8)</f>
        <v>12.041999999999998</v>
      </c>
      <c r="F8" s="83">
        <f>IF('Aglis Market Share'!F8*'Total Tonnage'!F8&gt;$A$1,$A$1,'Aglis Market Share'!F8*'Total Tonnage'!F8)</f>
        <v>12.041999999999998</v>
      </c>
      <c r="G8" s="83">
        <f>IF('Aglis Market Share'!G8*'Total Tonnage'!G8&gt;$A$1,$A$1,'Aglis Market Share'!G8*'Total Tonnage'!G8)</f>
        <v>12.772681538215602</v>
      </c>
      <c r="H8" s="83">
        <f>IF('Aglis Market Share'!H8*'Total Tonnage'!H8&gt;$A$1,$A$1,'Aglis Market Share'!H8*'Total Tonnage'!H8)</f>
        <v>13.274254476872771</v>
      </c>
      <c r="I8" s="83">
        <f>IF('Aglis Market Share'!I8*'Total Tonnage'!I8&gt;$A$1,$A$1,'Aglis Market Share'!I8*'Total Tonnage'!I8)</f>
        <v>13.583185975768073</v>
      </c>
      <c r="J8" s="83">
        <f>IF('Aglis Market Share'!J8*'Total Tonnage'!J8&gt;$A$1,$A$1,'Aglis Market Share'!J8*'Total Tonnage'!J8)</f>
        <v>13.988438194544331</v>
      </c>
      <c r="K8" s="83">
        <f>IF('Aglis Market Share'!K8*'Total Tonnage'!K8&gt;$A$1,$A$1,'Aglis Market Share'!K8*'Total Tonnage'!K8)</f>
        <v>15.144819680785233</v>
      </c>
      <c r="L8" s="83">
        <f>IF('Aglis Market Share'!L8*'Total Tonnage'!L8&gt;$A$1,$A$1,'Aglis Market Share'!L8*'Total Tonnage'!L8)</f>
        <v>15.571006581079363</v>
      </c>
      <c r="M8" s="83">
        <f>IF('Aglis Market Share'!M8*'Total Tonnage'!M8&gt;$A$1,$A$1,'Aglis Market Share'!M8*'Total Tonnage'!M8)</f>
        <v>15.997193481373555</v>
      </c>
      <c r="N8" s="83">
        <f>IF('Aglis Market Share'!N8*'Total Tonnage'!N8&gt;$A$1,$A$1,'Aglis Market Share'!N8*'Total Tonnage'!N8)</f>
        <v>16.423380381667737</v>
      </c>
      <c r="O8" s="83">
        <f>IF('Aglis Market Share'!O8*'Total Tonnage'!O8&gt;$A$1,$A$1,'Aglis Market Share'!O8*'Total Tonnage'!O8)</f>
        <v>17.727832371896294</v>
      </c>
      <c r="P8" s="83">
        <f>IF('Aglis Market Share'!P8*'Total Tonnage'!P8&gt;$A$1,$A$1,'Aglis Market Share'!P8*'Total Tonnage'!P8)</f>
        <v>18.176033277328763</v>
      </c>
      <c r="Q8" s="83">
        <f>IF('Aglis Market Share'!Q8*'Total Tonnage'!Q8&gt;$A$1,$A$1,'Aglis Market Share'!Q8*'Total Tonnage'!Q8)</f>
        <v>18.624234182761285</v>
      </c>
      <c r="R8" s="83">
        <f>IF('Aglis Market Share'!R8*'Total Tonnage'!R8&gt;$A$1,$A$1,'Aglis Market Share'!R8*'Total Tonnage'!R8)</f>
        <v>19.072435088193753</v>
      </c>
      <c r="S8" s="83">
        <f>IF('Aglis Market Share'!S8*'Total Tonnage'!S8&gt;$A$1,$A$1,'Aglis Market Share'!S8*'Total Tonnage'!S8)</f>
        <v>20.537145090133379</v>
      </c>
      <c r="T8" s="83">
        <f>IF('Aglis Market Share'!T8*'Total Tonnage'!T8&gt;$A$1,$A$1,'Aglis Market Share'!T8*'Total Tonnage'!T8)</f>
        <v>21.008494905495336</v>
      </c>
      <c r="U8" s="83">
        <f>IF('Aglis Market Share'!U8*'Total Tonnage'!U8&gt;$A$1,$A$1,'Aglis Market Share'!U8*'Total Tonnage'!U8)</f>
        <v>21.479844720857301</v>
      </c>
      <c r="V8" s="83">
        <f>IF('Aglis Market Share'!V8*'Total Tonnage'!V8&gt;$A$1,$A$1,'Aglis Market Share'!V8*'Total Tonnage'!V8)</f>
        <v>21.6</v>
      </c>
      <c r="W8" s="83">
        <f>IF('Aglis Market Share'!W8*'Total Tonnage'!W8&gt;$A$1,$A$1,'Aglis Market Share'!W8*'Total Tonnage'!W8)</f>
        <v>21.6</v>
      </c>
      <c r="X8" s="83">
        <f>IF('Aglis Market Share'!X8*'Total Tonnage'!X8&gt;$A$1,$A$1,'Aglis Market Share'!X8*'Total Tonnage'!X8)</f>
        <v>21.6</v>
      </c>
      <c r="Y8" s="83">
        <f>IF('Aglis Market Share'!Y8*'Total Tonnage'!Y8&gt;$A$1,$A$1,'Aglis Market Share'!Y8*'Total Tonnage'!Y8)</f>
        <v>21.6</v>
      </c>
      <c r="Z8" s="83">
        <f>IF('Aglis Market Share'!Z8*'Total Tonnage'!Z8&gt;$A$1,$A$1,'Aglis Market Share'!Z8*'Total Tonnage'!Z8)</f>
        <v>21.6</v>
      </c>
      <c r="AA8" s="83">
        <f>IF('Aglis Market Share'!AA8*'Total Tonnage'!AA8&gt;$A$1,$A$1,'Aglis Market Share'!AA8*'Total Tonnage'!AA8)</f>
        <v>21.6</v>
      </c>
      <c r="AB8" s="83">
        <f>IF('Aglis Market Share'!AB8*'Total Tonnage'!AB8&gt;$A$1,$A$1,'Aglis Market Share'!AB8*'Total Tonnage'!AB8)</f>
        <v>21.6</v>
      </c>
      <c r="AC8" s="83">
        <f>IF('Aglis Market Share'!AC8*'Total Tonnage'!AC8&gt;$A$1,$A$1,'Aglis Market Share'!AC8*'Total Tonnage'!AC8)</f>
        <v>21.6</v>
      </c>
      <c r="AD8" s="83">
        <f>IF('Aglis Market Share'!AD8*'Total Tonnage'!AD8&gt;$A$1,$A$1,'Aglis Market Share'!AD8*'Total Tonnage'!AD8)</f>
        <v>21.6</v>
      </c>
      <c r="AE8" s="83">
        <f>IF('Aglis Market Share'!AE8*'Total Tonnage'!AE8&gt;$A$1,$A$1,'Aglis Market Share'!AE8*'Total Tonnage'!AE8)</f>
        <v>21.6</v>
      </c>
      <c r="AF8" s="83">
        <f>IF('Aglis Market Share'!AF8*'Total Tonnage'!AF8&gt;$A$1,$A$1,'Aglis Market Share'!AF8*'Total Tonnage'!AF8)</f>
        <v>21.6</v>
      </c>
      <c r="AG8" s="83">
        <f>IF('Aglis Market Share'!AG8*'Total Tonnage'!AG8&gt;$A$1,$A$1,'Aglis Market Share'!AG8*'Total Tonnage'!AG8)</f>
        <v>21.6</v>
      </c>
      <c r="AH8" s="83">
        <f>IF('Aglis Market Share'!AH8*'Total Tonnage'!AH8&gt;$A$1,$A$1,'Aglis Market Share'!AH8*'Total Tonnage'!AH8)</f>
        <v>21.6</v>
      </c>
      <c r="AI8" s="83">
        <f>IF('Aglis Market Share'!AI8*'Total Tonnage'!AI8&gt;$A$1,$A$1,'Aglis Market Share'!AI8*'Total Tonnage'!AI8)</f>
        <v>21.6</v>
      </c>
      <c r="AJ8" s="83">
        <f>IF('Aglis Market Share'!AJ8*'Total Tonnage'!AJ8&gt;$A$1,$A$1,'Aglis Market Share'!AJ8*'Total Tonnage'!AJ8)</f>
        <v>21.6</v>
      </c>
      <c r="AK8" s="83">
        <f>IF('Aglis Market Share'!AK8*'Total Tonnage'!AK8&gt;$A$1,$A$1,'Aglis Market Share'!AK8*'Total Tonnage'!AK8)</f>
        <v>21.6</v>
      </c>
      <c r="AL8" s="83">
        <f>IF('Aglis Market Share'!AL8*'Total Tonnage'!AL8&gt;$A$1,$A$1,'Aglis Market Share'!AL8*'Total Tonnage'!AL8)</f>
        <v>21.6</v>
      </c>
      <c r="AM8" s="83">
        <f>IF('Aglis Market Share'!AM8*'Total Tonnage'!AM8&gt;$A$1,$A$1,'Aglis Market Share'!AM8*'Total Tonnage'!AM8)</f>
        <v>21.6</v>
      </c>
      <c r="AN8" s="83">
        <f>IF('Aglis Market Share'!AN8*'Total Tonnage'!AN8&gt;$A$1,$A$1,'Aglis Market Share'!AN8*'Total Tonnage'!AN8)</f>
        <v>21.6</v>
      </c>
      <c r="AO8" s="83">
        <f>IF('Aglis Market Share'!AO8*'Total Tonnage'!AO8&gt;$A$1,$A$1,'Aglis Market Share'!AO8*'Total Tonnage'!AO8)</f>
        <v>21.6</v>
      </c>
      <c r="AP8" s="83">
        <f>IF('Aglis Market Share'!AP8*'Total Tonnage'!AP8&gt;$A$1,$A$1,'Aglis Market Share'!AP8*'Total Tonnage'!AP8)</f>
        <v>21.6</v>
      </c>
      <c r="AQ8" s="15"/>
      <c r="AR8" s="15"/>
      <c r="AS8" s="15"/>
      <c r="AT8" s="15"/>
      <c r="BH8" s="57">
        <f>V8/'Total Tonnage'!V8</f>
        <v>0.2483327046692195</v>
      </c>
      <c r="BI8" s="17">
        <f>V8/27</f>
        <v>0.8</v>
      </c>
      <c r="BK8" s="27">
        <v>5</v>
      </c>
      <c r="BL8" s="28" t="s">
        <v>20</v>
      </c>
      <c r="BM8" s="29">
        <v>1871.66</v>
      </c>
    </row>
    <row r="9" spans="1:65">
      <c r="A9" s="107">
        <v>2</v>
      </c>
      <c r="B9" s="48" t="s">
        <v>19</v>
      </c>
      <c r="C9" s="83">
        <f>IF('Aglis Market Share'!C9*'Total Tonnage'!C9&gt;$A$1,$A$1,'Aglis Market Share'!C9*'Total Tonnage'!C9)</f>
        <v>5.085</v>
      </c>
      <c r="D9" s="83">
        <f>IF('Aglis Market Share'!D9*'Total Tonnage'!D9&gt;$A$1,$A$1,'Aglis Market Share'!D9*'Total Tonnage'!D9)</f>
        <v>5.1589636363636364</v>
      </c>
      <c r="E9" s="83">
        <f>IF('Aglis Market Share'!E9*'Total Tonnage'!E9&gt;$A$1,$A$1,'Aglis Market Share'!E9*'Total Tonnage'!E9)</f>
        <v>5.2329272727272729</v>
      </c>
      <c r="F9" s="83">
        <f>IF('Aglis Market Share'!F9*'Total Tonnage'!F9&gt;$A$1,$A$1,'Aglis Market Share'!F9*'Total Tonnage'!F9)</f>
        <v>5.3068909090909093</v>
      </c>
      <c r="G9" s="83">
        <f>IF('Aglis Market Share'!G9*'Total Tonnage'!G9&gt;$A$1,$A$1,'Aglis Market Share'!G9*'Total Tonnage'!G9)</f>
        <v>5.6849537701404707</v>
      </c>
      <c r="H9" s="83">
        <f>IF('Aglis Market Share'!H9*'Total Tonnage'!H9&gt;$A$1,$A$1,'Aglis Market Share'!H9*'Total Tonnage'!H9)</f>
        <v>5.7630974645753916</v>
      </c>
      <c r="I9" s="83">
        <f>IF('Aglis Market Share'!I9*'Total Tonnage'!I9&gt;$A$1,$A$1,'Aglis Market Share'!I9*'Total Tonnage'!I9)</f>
        <v>5.8412411590103108</v>
      </c>
      <c r="J9" s="83">
        <f>IF('Aglis Market Share'!J9*'Total Tonnage'!J9&gt;$A$1,$A$1,'Aglis Market Share'!J9*'Total Tonnage'!J9)</f>
        <v>5.9193848534452336</v>
      </c>
      <c r="K9" s="83">
        <f>IF('Aglis Market Share'!K9*'Total Tonnage'!K9&gt;$A$1,$A$1,'Aglis Market Share'!K9*'Total Tonnage'!K9)</f>
        <v>6.3357331659137133</v>
      </c>
      <c r="L9" s="83">
        <f>IF('Aglis Market Share'!L9*'Total Tonnage'!L9&gt;$A$1,$A$1,'Aglis Market Share'!L9*'Total Tonnage'!L9)</f>
        <v>6.4182834351764324</v>
      </c>
      <c r="M9" s="83">
        <f>IF('Aglis Market Share'!M9*'Total Tonnage'!M9&gt;$A$1,$A$1,'Aglis Market Share'!M9*'Total Tonnage'!M9)</f>
        <v>6.5008337044391515</v>
      </c>
      <c r="N9" s="83">
        <f>IF('Aglis Market Share'!N9*'Total Tonnage'!N9&gt;$A$1,$A$1,'Aglis Market Share'!N9*'Total Tonnage'!N9)</f>
        <v>6.5833839737018716</v>
      </c>
      <c r="O9" s="83">
        <f>IF('Aglis Market Share'!O9*'Total Tonnage'!O9&gt;$A$1,$A$1,'Aglis Market Share'!O9*'Total Tonnage'!O9)</f>
        <v>7.0410256058324441</v>
      </c>
      <c r="P9" s="83">
        <f>IF('Aglis Market Share'!P9*'Total Tonnage'!P9&gt;$A$1,$A$1,'Aglis Market Share'!P9*'Total Tonnage'!P9)</f>
        <v>7.1282209693721637</v>
      </c>
      <c r="Q9" s="83">
        <f>IF('Aglis Market Share'!Q9*'Total Tonnage'!Q9&gt;$A$1,$A$1,'Aglis Market Share'!Q9*'Total Tonnage'!Q9)</f>
        <v>7.2154163329118877</v>
      </c>
      <c r="R9" s="83">
        <f>IF('Aglis Market Share'!R9*'Total Tonnage'!R9&gt;$A$1,$A$1,'Aglis Market Share'!R9*'Total Tonnage'!R9)</f>
        <v>7.3026116964516063</v>
      </c>
      <c r="S9" s="83">
        <f>IF('Aglis Market Share'!S9*'Total Tonnage'!S9&gt;$A$1,$A$1,'Aglis Market Share'!S9*'Total Tonnage'!S9)</f>
        <v>7.8047637786054445</v>
      </c>
      <c r="T9" s="83">
        <f>IF('Aglis Market Share'!T9*'Total Tonnage'!T9&gt;$A$1,$A$1,'Aglis Market Share'!T9*'Total Tonnage'!T9)</f>
        <v>7.8968553866125886</v>
      </c>
      <c r="U9" s="83">
        <f>IF('Aglis Market Share'!U9*'Total Tonnage'!U9&gt;$A$1,$A$1,'Aglis Market Share'!U9*'Total Tonnage'!U9)</f>
        <v>7.9889469946197327</v>
      </c>
      <c r="V9" s="83">
        <f>IF('Aglis Market Share'!V9*'Total Tonnage'!V9&gt;$A$1,$A$1,'Aglis Market Share'!V9*'Total Tonnage'!V9)</f>
        <v>8.0810386026268759</v>
      </c>
      <c r="W9" s="83">
        <f>IF('Aglis Market Share'!W9*'Total Tonnage'!W9&gt;$A$1,$A$1,'Aglis Market Share'!W9*'Total Tonnage'!W9)</f>
        <v>8.3241295943440878</v>
      </c>
      <c r="X9" s="83">
        <f>IF('Aglis Market Share'!X9*'Total Tonnage'!X9&gt;$A$1,$A$1,'Aglis Market Share'!X9*'Total Tonnage'!X9)</f>
        <v>8.3445030981340818</v>
      </c>
      <c r="Y9" s="83">
        <f>IF('Aglis Market Share'!Y9*'Total Tonnage'!Y9&gt;$A$1,$A$1,'Aglis Market Share'!Y9*'Total Tonnage'!Y9)</f>
        <v>8.3649173489316588</v>
      </c>
      <c r="Z9" s="83">
        <f>IF('Aglis Market Share'!Z9*'Total Tonnage'!Z9&gt;$A$1,$A$1,'Aglis Market Share'!Z9*'Total Tonnage'!Z9)</f>
        <v>8.3853724282308288</v>
      </c>
      <c r="AA9" s="83">
        <f>IF('Aglis Market Share'!AA9*'Total Tonnage'!AA9&gt;$A$1,$A$1,'Aglis Market Share'!AA9*'Total Tonnage'!AA9)</f>
        <v>8.6585996029731955</v>
      </c>
      <c r="AB9" s="83">
        <f>IF('Aglis Market Share'!AB9*'Total Tonnage'!AB9&gt;$A$1,$A$1,'Aglis Market Share'!AB9*'Total Tonnage'!AB9)</f>
        <v>8.70087732677883</v>
      </c>
      <c r="AC9" s="83">
        <f>IF('Aglis Market Share'!AC9*'Total Tonnage'!AC9&gt;$A$1,$A$1,'Aglis Market Share'!AC9*'Total Tonnage'!AC9)</f>
        <v>8.7433241614796877</v>
      </c>
      <c r="AD9" s="83">
        <f>IF('Aglis Market Share'!AD9*'Total Tonnage'!AD9&gt;$A$1,$A$1,'Aglis Market Share'!AD9*'Total Tonnage'!AD9)</f>
        <v>8.785940783519349</v>
      </c>
      <c r="AE9" s="83">
        <f>IF('Aglis Market Share'!AE9*'Total Tonnage'!AE9&gt;$A$1,$A$1,'Aglis Market Share'!AE9*'Total Tonnage'!AE9)</f>
        <v>9.0939731050205577</v>
      </c>
      <c r="AF9" s="83">
        <f>IF('Aglis Market Share'!AF9*'Total Tonnage'!AF9&gt;$A$1,$A$1,'Aglis Market Share'!AF9*'Total Tonnage'!AF9)</f>
        <v>9.1602986726095192</v>
      </c>
      <c r="AG9" s="83">
        <f>IF('Aglis Market Share'!AG9*'Total Tonnage'!AG9&gt;$A$1,$A$1,'Aglis Market Share'!AG9*'Total Tonnage'!AG9)</f>
        <v>9.2105477903301693</v>
      </c>
      <c r="AH9" s="83">
        <f>IF('Aglis Market Share'!AH9*'Total Tonnage'!AH9&gt;$A$1,$A$1,'Aglis Market Share'!AH9*'Total Tonnage'!AH9)</f>
        <v>9.2775518060309867</v>
      </c>
      <c r="AI9" s="83">
        <f>IF('Aglis Market Share'!AI9*'Total Tonnage'!AI9&gt;$A$1,$A$1,'Aglis Market Share'!AI9*'Total Tonnage'!AI9)</f>
        <v>9.3523699943812613</v>
      </c>
      <c r="AJ9" s="83">
        <f>IF('Aglis Market Share'!AJ9*'Total Tonnage'!AJ9&gt;$A$1,$A$1,'Aglis Market Share'!AJ9*'Total Tonnage'!AJ9)</f>
        <v>9.4360215047222518</v>
      </c>
      <c r="AK9" s="83">
        <f>IF('Aglis Market Share'!AK9*'Total Tonnage'!AK9&gt;$A$1,$A$1,'Aglis Market Share'!AK9*'Total Tonnage'!AK9)</f>
        <v>9.5202920362397645</v>
      </c>
      <c r="AL9" s="83">
        <f>IF('Aglis Market Share'!AL9*'Total Tonnage'!AL9&gt;$A$1,$A$1,'Aglis Market Share'!AL9*'Total Tonnage'!AL9)</f>
        <v>9.5645289226146577</v>
      </c>
      <c r="AM9" s="83">
        <f>IF('Aglis Market Share'!AM9*'Total Tonnage'!AM9&gt;$A$1,$A$1,'Aglis Market Share'!AM9*'Total Tonnage'!AM9)</f>
        <v>9.6421433863397521</v>
      </c>
      <c r="AN9" s="83">
        <f>IF('Aglis Market Share'!AN9*'Total Tonnage'!AN9&gt;$A$1,$A$1,'Aglis Market Share'!AN9*'Total Tonnage'!AN9)</f>
        <v>9.6421433863397521</v>
      </c>
      <c r="AO9" s="83">
        <f>IF('Aglis Market Share'!AO9*'Total Tonnage'!AO9&gt;$A$1,$A$1,'Aglis Market Share'!AO9*'Total Tonnage'!AO9)</f>
        <v>9.6421433863397521</v>
      </c>
      <c r="AP9" s="83">
        <f>IF('Aglis Market Share'!AP9*'Total Tonnage'!AP9&gt;$A$1,$A$1,'Aglis Market Share'!AP9*'Total Tonnage'!AP9)</f>
        <v>9.6421433863397503</v>
      </c>
      <c r="AQ9" s="15"/>
      <c r="AR9" s="15"/>
      <c r="AS9" s="15"/>
      <c r="AT9" s="15"/>
      <c r="BH9" s="57">
        <f>R9/'Total Tonnage'!V9</f>
        <v>0.23439061910183945</v>
      </c>
      <c r="BI9" s="17">
        <f>R9/27</f>
        <v>0.27046709986857803</v>
      </c>
      <c r="BK9" s="27">
        <v>6</v>
      </c>
      <c r="BL9" s="28" t="s">
        <v>70</v>
      </c>
      <c r="BM9" s="29">
        <v>1995.58</v>
      </c>
    </row>
    <row r="10" spans="1:65">
      <c r="A10" s="108"/>
      <c r="B10" s="48" t="s">
        <v>21</v>
      </c>
      <c r="C10" s="83">
        <f>IF('Aglis Market Share'!C10*'Total Tonnage'!C10&gt;$A$1,$A$1,'Aglis Market Share'!C10*'Total Tonnage'!C10)</f>
        <v>8.2749999999999986</v>
      </c>
      <c r="D10" s="83">
        <f>IF('Aglis Market Share'!D10*'Total Tonnage'!D10&gt;$A$1,$A$1,'Aglis Market Share'!D10*'Total Tonnage'!D10)</f>
        <v>8.4073999999999991</v>
      </c>
      <c r="E10" s="83">
        <f>IF('Aglis Market Share'!E10*'Total Tonnage'!E10&gt;$A$1,$A$1,'Aglis Market Share'!E10*'Total Tonnage'!E10)</f>
        <v>8.5398000000000014</v>
      </c>
      <c r="F10" s="83">
        <f>IF('Aglis Market Share'!F10*'Total Tonnage'!F10&gt;$A$1,$A$1,'Aglis Market Share'!F10*'Total Tonnage'!F10)</f>
        <v>8.6721999999999966</v>
      </c>
      <c r="G10" s="83">
        <f>IF('Aglis Market Share'!G10*'Total Tonnage'!G10&gt;$A$1,$A$1,'Aglis Market Share'!G10*'Total Tonnage'!G10)</f>
        <v>9.4162458352941201</v>
      </c>
      <c r="H10" s="83">
        <f>IF('Aglis Market Share'!H10*'Total Tonnage'!H10&gt;$A$1,$A$1,'Aglis Market Share'!H10*'Total Tonnage'!H10)</f>
        <v>9.5578435170278642</v>
      </c>
      <c r="I10" s="83">
        <f>IF('Aglis Market Share'!I10*'Total Tonnage'!I10&gt;$A$1,$A$1,'Aglis Market Share'!I10*'Total Tonnage'!I10)</f>
        <v>9.6994411987616118</v>
      </c>
      <c r="J10" s="83">
        <f>IF('Aglis Market Share'!J10*'Total Tonnage'!J10&gt;$A$1,$A$1,'Aglis Market Share'!J10*'Total Tonnage'!J10)</f>
        <v>9.8410388804953559</v>
      </c>
      <c r="K10" s="83">
        <f>IF('Aglis Market Share'!K10*'Total Tonnage'!K10&gt;$A$1,$A$1,'Aglis Market Share'!K10*'Total Tonnage'!K10)</f>
        <v>10.669598331533283</v>
      </c>
      <c r="L10" s="83">
        <f>IF('Aglis Market Share'!L10*'Total Tonnage'!L10&gt;$A$1,$A$1,'Aglis Market Share'!L10*'Total Tonnage'!L10)</f>
        <v>10.820940151838718</v>
      </c>
      <c r="M10" s="83">
        <f>IF('Aglis Market Share'!M10*'Total Tonnage'!M10&gt;$A$1,$A$1,'Aglis Market Share'!M10*'Total Tonnage'!M10)</f>
        <v>10.972281972144156</v>
      </c>
      <c r="N10" s="83">
        <f>IF('Aglis Market Share'!N10*'Total Tonnage'!N10&gt;$A$1,$A$1,'Aglis Market Share'!N10*'Total Tonnage'!N10)</f>
        <v>11.123623792449594</v>
      </c>
      <c r="O10" s="83">
        <f>IF('Aglis Market Share'!O10*'Total Tonnage'!O10&gt;$A$1,$A$1,'Aglis Market Share'!O10*'Total Tonnage'!O10)</f>
        <v>12.043876702084022</v>
      </c>
      <c r="P10" s="83">
        <f>IF('Aglis Market Share'!P10*'Total Tonnage'!P10&gt;$A$1,$A$1,'Aglis Market Share'!P10*'Total Tonnage'!P10)</f>
        <v>12.20553947660864</v>
      </c>
      <c r="Q10" s="83">
        <f>IF('Aglis Market Share'!Q10*'Total Tonnage'!Q10&gt;$A$1,$A$1,'Aglis Market Share'!Q10*'Total Tonnage'!Q10)</f>
        <v>12.367202251133259</v>
      </c>
      <c r="R10" s="83">
        <f>IF('Aglis Market Share'!R10*'Total Tonnage'!R10&gt;$A$1,$A$1,'Aglis Market Share'!R10*'Total Tonnage'!R10)</f>
        <v>12.528865025657874</v>
      </c>
      <c r="S10" s="83">
        <f>IF('Aglis Market Share'!S10*'Total Tonnage'!S10&gt;$A$1,$A$1,'Aglis Market Share'!S10*'Total Tonnage'!S10)</f>
        <v>13.548513892166612</v>
      </c>
      <c r="T10" s="83">
        <f>IF('Aglis Market Share'!T10*'Total Tonnage'!T10&gt;$A$1,$A$1,'Aglis Market Share'!T10*'Total Tonnage'!T10)</f>
        <v>13.721106425824784</v>
      </c>
      <c r="U10" s="83">
        <f>IF('Aglis Market Share'!U10*'Total Tonnage'!U10&gt;$A$1,$A$1,'Aglis Market Share'!U10*'Total Tonnage'!U10)</f>
        <v>13.893698959482958</v>
      </c>
      <c r="V10" s="83">
        <f>IF('Aglis Market Share'!V10*'Total Tonnage'!V10&gt;$A$1,$A$1,'Aglis Market Share'!V10*'Total Tonnage'!V10)</f>
        <v>14.066291493141133</v>
      </c>
      <c r="W10" s="83">
        <f>IF('Aglis Market Share'!W10*'Total Tonnage'!W10&gt;$A$1,$A$1,'Aglis Market Share'!W10*'Total Tonnage'!W10)</f>
        <v>14.14898084476151</v>
      </c>
      <c r="X10" s="83">
        <f>IF('Aglis Market Share'!X10*'Total Tonnage'!X10&gt;$A$1,$A$1,'Aglis Market Share'!X10*'Total Tonnage'!X10)</f>
        <v>14.198625364808823</v>
      </c>
      <c r="Y10" s="83">
        <f>IF('Aglis Market Share'!Y10*'Total Tonnage'!Y10&gt;$A$1,$A$1,'Aglis Market Share'!Y10*'Total Tonnage'!Y10)</f>
        <v>14.248369173896233</v>
      </c>
      <c r="Z10" s="83">
        <f>IF('Aglis Market Share'!Z10*'Total Tonnage'!Z10&gt;$A$1,$A$1,'Aglis Market Share'!Z10*'Total Tonnage'!Z10)</f>
        <v>14.298212470601813</v>
      </c>
      <c r="AA10" s="83">
        <f>IF('Aglis Market Share'!AA10*'Total Tonnage'!AA10&gt;$A$1,$A$1,'Aglis Market Share'!AA10*'Total Tonnage'!AA10)</f>
        <v>14.431686885680692</v>
      </c>
      <c r="AB10" s="83">
        <f>IF('Aglis Market Share'!AB10*'Total Tonnage'!AB10&gt;$A$1,$A$1,'Aglis Market Share'!AB10*'Total Tonnage'!AB10)</f>
        <v>14.532106749938995</v>
      </c>
      <c r="AC10" s="83">
        <f>IF('Aglis Market Share'!AC10*'Total Tonnage'!AC10&gt;$A$1,$A$1,'Aglis Market Share'!AC10*'Total Tonnage'!AC10)</f>
        <v>14.632928293654333</v>
      </c>
      <c r="AD10" s="83">
        <f>IF('Aglis Market Share'!AD10*'Total Tonnage'!AD10&gt;$A$1,$A$1,'Aglis Market Share'!AD10*'Total Tonnage'!AD10)</f>
        <v>14.73415312354453</v>
      </c>
      <c r="AE10" s="83">
        <f>IF('Aglis Market Share'!AE10*'Total Tonnage'!AE10&gt;$A$1,$A$1,'Aglis Market Share'!AE10*'Total Tonnage'!AE10)</f>
        <v>14.92084061463645</v>
      </c>
      <c r="AF10" s="83">
        <f>IF('Aglis Market Share'!AF10*'Total Tonnage'!AF10&gt;$A$1,$A$1,'Aglis Market Share'!AF10*'Total Tonnage'!AF10)</f>
        <v>15.074405333397644</v>
      </c>
      <c r="AG10" s="83">
        <f>IF('Aglis Market Share'!AG10*'Total Tonnage'!AG10&gt;$A$1,$A$1,'Aglis Market Share'!AG10*'Total Tonnage'!AG10)</f>
        <v>15.208202491725123</v>
      </c>
      <c r="AH10" s="83">
        <f>IF('Aglis Market Share'!AH10*'Total Tonnage'!AH10&gt;$A$1,$A$1,'Aglis Market Share'!AH10*'Total Tonnage'!AH10)</f>
        <v>15.363404381748847</v>
      </c>
      <c r="AI10" s="83">
        <f>IF('Aglis Market Share'!AI10*'Total Tonnage'!AI10&gt;$A$1,$A$1,'Aglis Market Share'!AI10*'Total Tonnage'!AI10)</f>
        <v>15.561395028348171</v>
      </c>
      <c r="AJ10" s="83">
        <f>IF('Aglis Market Share'!AJ10*'Total Tonnage'!AJ10&gt;$A$1,$A$1,'Aglis Market Share'!AJ10*'Total Tonnage'!AJ10)</f>
        <v>15.755274097481763</v>
      </c>
      <c r="AK10" s="83">
        <f>IF('Aglis Market Share'!AK10*'Total Tonnage'!AK10&gt;$A$1,$A$1,'Aglis Market Share'!AK10*'Total Tonnage'!AK10)</f>
        <v>15.950587871726944</v>
      </c>
      <c r="AL10" s="83">
        <f>IF('Aglis Market Share'!AL10*'Total Tonnage'!AL10&gt;$A$1,$A$1,'Aglis Market Share'!AL10*'Total Tonnage'!AL10)</f>
        <v>16.053115684037461</v>
      </c>
      <c r="AM10" s="83">
        <f>IF('Aglis Market Share'!AM10*'Total Tonnage'!AM10&gt;$A$1,$A$1,'Aglis Market Share'!AM10*'Total Tonnage'!AM10)</f>
        <v>16.265363421407272</v>
      </c>
      <c r="AN10" s="83">
        <f>IF('Aglis Market Share'!AN10*'Total Tonnage'!AN10&gt;$A$1,$A$1,'Aglis Market Share'!AN10*'Total Tonnage'!AN10)</f>
        <v>16.265363421407272</v>
      </c>
      <c r="AO10" s="83">
        <f>IF('Aglis Market Share'!AO10*'Total Tonnage'!AO10&gt;$A$1,$A$1,'Aglis Market Share'!AO10*'Total Tonnage'!AO10)</f>
        <v>16.265363421407272</v>
      </c>
      <c r="AP10" s="83">
        <f>IF('Aglis Market Share'!AP10*'Total Tonnage'!AP10&gt;$A$1,$A$1,'Aglis Market Share'!AP10*'Total Tonnage'!AP10)</f>
        <v>16.265363421407272</v>
      </c>
      <c r="AQ10" s="15"/>
      <c r="AR10" s="15"/>
      <c r="AS10" s="15"/>
      <c r="AT10" s="15"/>
      <c r="BH10" s="57">
        <f>R10/'Total Tonnage'!V10</f>
        <v>0.32781739061281701</v>
      </c>
      <c r="BI10" s="17">
        <f>R10/27</f>
        <v>0.46403203798732867</v>
      </c>
      <c r="BK10" s="27">
        <v>7</v>
      </c>
      <c r="BL10" s="28" t="s">
        <v>32</v>
      </c>
      <c r="BM10" s="29">
        <v>2391.48</v>
      </c>
    </row>
    <row r="11" spans="1:65">
      <c r="A11" s="108"/>
      <c r="B11" s="49" t="s">
        <v>22</v>
      </c>
      <c r="C11" s="83">
        <f>IF('Aglis Market Share'!C11*'Total Tonnage'!C11&gt;$A$1,$A$1,'Aglis Market Share'!C11*'Total Tonnage'!C11)</f>
        <v>8.92</v>
      </c>
      <c r="D11" s="83">
        <f>IF('Aglis Market Share'!D11*'Total Tonnage'!D11&gt;$A$1,$A$1,'Aglis Market Share'!D11*'Total Tonnage'!D11)</f>
        <v>9.0627200000000006</v>
      </c>
      <c r="E11" s="83">
        <f>IF('Aglis Market Share'!E11*'Total Tonnage'!E11&gt;$A$1,$A$1,'Aglis Market Share'!E11*'Total Tonnage'!E11)</f>
        <v>9.2054400000000012</v>
      </c>
      <c r="F11" s="83">
        <f>IF('Aglis Market Share'!F11*'Total Tonnage'!F11&gt;$A$1,$A$1,'Aglis Market Share'!F11*'Total Tonnage'!F11)</f>
        <v>9.34816</v>
      </c>
      <c r="G11" s="83">
        <f>IF('Aglis Market Share'!G11*'Total Tonnage'!G11&gt;$A$1,$A$1,'Aglis Market Share'!G11*'Total Tonnage'!G11)</f>
        <v>9.7831125561497352</v>
      </c>
      <c r="H11" s="83">
        <f>IF('Aglis Market Share'!H11*'Total Tonnage'!H11&gt;$A$1,$A$1,'Aglis Market Share'!H11*'Total Tonnage'!H11)</f>
        <v>9.9302270306783011</v>
      </c>
      <c r="I11" s="83">
        <f>IF('Aglis Market Share'!I11*'Total Tonnage'!I11&gt;$A$1,$A$1,'Aglis Market Share'!I11*'Total Tonnage'!I11)</f>
        <v>10.077341505206869</v>
      </c>
      <c r="J11" s="83">
        <f>IF('Aglis Market Share'!J11*'Total Tonnage'!J11&gt;$A$1,$A$1,'Aglis Market Share'!J11*'Total Tonnage'!J11)</f>
        <v>10.224455979735437</v>
      </c>
      <c r="K11" s="83">
        <f>IF('Aglis Market Share'!K11*'Total Tonnage'!K11&gt;$A$1,$A$1,'Aglis Market Share'!K11*'Total Tonnage'!K11)</f>
        <v>10.690920245340978</v>
      </c>
      <c r="L11" s="83">
        <f>IF('Aglis Market Share'!L11*'Total Tonnage'!L11&gt;$A$1,$A$1,'Aglis Market Share'!L11*'Total Tonnage'!L11)</f>
        <v>10.842564504140142</v>
      </c>
      <c r="M11" s="83">
        <f>IF('Aglis Market Share'!M11*'Total Tonnage'!M11&gt;$A$1,$A$1,'Aglis Market Share'!M11*'Total Tonnage'!M11)</f>
        <v>10.994208762939303</v>
      </c>
      <c r="N11" s="83">
        <f>IF('Aglis Market Share'!N11*'Total Tonnage'!N11&gt;$A$1,$A$1,'Aglis Market Share'!N11*'Total Tonnage'!N11)</f>
        <v>11.145853021738466</v>
      </c>
      <c r="O11" s="83">
        <f>IF('Aglis Market Share'!O11*'Total Tonnage'!O11&gt;$A$1,$A$1,'Aglis Market Share'!O11*'Total Tonnage'!O11)</f>
        <v>11.645357174286804</v>
      </c>
      <c r="P11" s="83">
        <f>IF('Aglis Market Share'!P11*'Total Tonnage'!P11&gt;$A$1,$A$1,'Aglis Market Share'!P11*'Total Tonnage'!P11)</f>
        <v>11.801670693404752</v>
      </c>
      <c r="Q11" s="83">
        <f>IF('Aglis Market Share'!Q11*'Total Tonnage'!Q11&gt;$A$1,$A$1,'Aglis Market Share'!Q11*'Total Tonnage'!Q11)</f>
        <v>11.957984212522691</v>
      </c>
      <c r="R11" s="83">
        <f>IF('Aglis Market Share'!R11*'Total Tonnage'!R11&gt;$A$1,$A$1,'Aglis Market Share'!R11*'Total Tonnage'!R11)</f>
        <v>12.114297731640635</v>
      </c>
      <c r="S11" s="83">
        <f>IF('Aglis Market Share'!S11*'Total Tonnage'!S11&gt;$A$1,$A$1,'Aglis Market Share'!S11*'Total Tonnage'!S11)</f>
        <v>12.602460248394504</v>
      </c>
      <c r="T11" s="83">
        <f>IF('Aglis Market Share'!T11*'Total Tonnage'!T11&gt;$A$1,$A$1,'Aglis Market Share'!T11*'Total Tonnage'!T11)</f>
        <v>12.602460248394504</v>
      </c>
      <c r="U11" s="83">
        <f>IF('Aglis Market Share'!U11*'Total Tonnage'!U11&gt;$A$1,$A$1,'Aglis Market Share'!U11*'Total Tonnage'!U11)</f>
        <v>12.602460248394504</v>
      </c>
      <c r="V11" s="83">
        <f>IF('Aglis Market Share'!V11*'Total Tonnage'!V11&gt;$A$1,$A$1,'Aglis Market Share'!V11*'Total Tonnage'!V11)</f>
        <v>12.602460248394504</v>
      </c>
      <c r="W11" s="83">
        <f>IF('Aglis Market Share'!W11*'Total Tonnage'!W11&gt;$A$1,$A$1,'Aglis Market Share'!W11*'Total Tonnage'!W11)</f>
        <v>12.602460248394504</v>
      </c>
      <c r="X11" s="83">
        <f>IF('Aglis Market Share'!X11*'Total Tonnage'!X11&gt;$A$1,$A$1,'Aglis Market Share'!X11*'Total Tonnage'!X11)</f>
        <v>12.602460248394504</v>
      </c>
      <c r="Y11" s="83">
        <f>IF('Aglis Market Share'!Y11*'Total Tonnage'!Y11&gt;$A$1,$A$1,'Aglis Market Share'!Y11*'Total Tonnage'!Y11)</f>
        <v>12.602460248394504</v>
      </c>
      <c r="Z11" s="83">
        <f>IF('Aglis Market Share'!Z11*'Total Tonnage'!Z11&gt;$A$1,$A$1,'Aglis Market Share'!Z11*'Total Tonnage'!Z11)</f>
        <v>12.602460248394504</v>
      </c>
      <c r="AA11" s="83">
        <f>IF('Aglis Market Share'!AA11*'Total Tonnage'!AA11&gt;$A$1,$A$1,'Aglis Market Share'!AA11*'Total Tonnage'!AA11)</f>
        <v>12.602460248394504</v>
      </c>
      <c r="AB11" s="83">
        <f>IF('Aglis Market Share'!AB11*'Total Tonnage'!AB11&gt;$A$1,$A$1,'Aglis Market Share'!AB11*'Total Tonnage'!AB11)</f>
        <v>12.602460248394504</v>
      </c>
      <c r="AC11" s="83">
        <f>IF('Aglis Market Share'!AC11*'Total Tonnage'!AC11&gt;$A$1,$A$1,'Aglis Market Share'!AC11*'Total Tonnage'!AC11)</f>
        <v>12.602460248394504</v>
      </c>
      <c r="AD11" s="83">
        <f>IF('Aglis Market Share'!AD11*'Total Tonnage'!AD11&gt;$A$1,$A$1,'Aglis Market Share'!AD11*'Total Tonnage'!AD11)</f>
        <v>12.602460248394504</v>
      </c>
      <c r="AE11" s="83">
        <f>IF('Aglis Market Share'!AE11*'Total Tonnage'!AE11&gt;$A$1,$A$1,'Aglis Market Share'!AE11*'Total Tonnage'!AE11)</f>
        <v>12.602460248394504</v>
      </c>
      <c r="AF11" s="83">
        <f>IF('Aglis Market Share'!AF11*'Total Tonnage'!AF11&gt;$A$1,$A$1,'Aglis Market Share'!AF11*'Total Tonnage'!AF11)</f>
        <v>12.602460248394504</v>
      </c>
      <c r="AG11" s="83">
        <f>IF('Aglis Market Share'!AG11*'Total Tonnage'!AG11&gt;$A$1,$A$1,'Aglis Market Share'!AG11*'Total Tonnage'!AG11)</f>
        <v>12.580160248394504</v>
      </c>
      <c r="AH11" s="83">
        <f>IF('Aglis Market Share'!AH11*'Total Tonnage'!AH11&gt;$A$1,$A$1,'Aglis Market Share'!AH11*'Total Tonnage'!AH11)</f>
        <v>12.580160248394504</v>
      </c>
      <c r="AI11" s="83">
        <f>IF('Aglis Market Share'!AI11*'Total Tonnage'!AI11&gt;$A$1,$A$1,'Aglis Market Share'!AI11*'Total Tonnage'!AI11)</f>
        <v>12.548940248394505</v>
      </c>
      <c r="AJ11" s="83">
        <f>IF('Aglis Market Share'!AJ11*'Total Tonnage'!AJ11&gt;$A$1,$A$1,'Aglis Market Share'!AJ11*'Total Tonnage'!AJ11)</f>
        <v>12.548940248394505</v>
      </c>
      <c r="AK11" s="83">
        <f>IF('Aglis Market Share'!AK11*'Total Tonnage'!AK11&gt;$A$1,$A$1,'Aglis Market Share'!AK11*'Total Tonnage'!AK11)</f>
        <v>12.548940248394505</v>
      </c>
      <c r="AL11" s="83">
        <f>IF('Aglis Market Share'!AL11*'Total Tonnage'!AL11&gt;$A$1,$A$1,'Aglis Market Share'!AL11*'Total Tonnage'!AL11)</f>
        <v>12.548940248394505</v>
      </c>
      <c r="AM11" s="83">
        <f>IF('Aglis Market Share'!AM11*'Total Tonnage'!AM11&gt;$A$1,$A$1,'Aglis Market Share'!AM11*'Total Tonnage'!AM11)</f>
        <v>12.508800248394504</v>
      </c>
      <c r="AN11" s="83">
        <f>IF('Aglis Market Share'!AN11*'Total Tonnage'!AN11&gt;$A$1,$A$1,'Aglis Market Share'!AN11*'Total Tonnage'!AN11)</f>
        <v>12.508800248394504</v>
      </c>
      <c r="AO11" s="83">
        <f>IF('Aglis Market Share'!AO11*'Total Tonnage'!AO11&gt;$A$1,$A$1,'Aglis Market Share'!AO11*'Total Tonnage'!AO11)</f>
        <v>12.508800248394504</v>
      </c>
      <c r="AP11" s="83">
        <f>IF('Aglis Market Share'!AP11*'Total Tonnage'!AP11&gt;$A$1,$A$1,'Aglis Market Share'!AP11*'Total Tonnage'!AP11)</f>
        <v>12.508800248394504</v>
      </c>
      <c r="AQ11" s="15"/>
      <c r="AR11" s="15"/>
      <c r="AS11" s="15"/>
      <c r="AT11" s="15"/>
      <c r="BH11" s="57">
        <f>R11/'Total Tonnage'!V11</f>
        <v>0.27162102537310839</v>
      </c>
      <c r="BI11" s="17">
        <f>R11/27</f>
        <v>0.44867769376446798</v>
      </c>
      <c r="BK11" s="27">
        <v>8</v>
      </c>
      <c r="BL11" s="28" t="s">
        <v>71</v>
      </c>
      <c r="BM11" s="29">
        <v>2201.58</v>
      </c>
    </row>
    <row r="12" spans="1:65">
      <c r="A12" s="109"/>
      <c r="B12" s="48" t="s">
        <v>20</v>
      </c>
      <c r="C12" s="83">
        <f>IF('Aglis Market Share'!C12*'Total Tonnage'!C12&gt;$A$1,$A$1,'Aglis Market Share'!C12*'Total Tonnage'!C12)</f>
        <v>3.24</v>
      </c>
      <c r="D12" s="83">
        <f>IF('Aglis Market Share'!D12*'Total Tonnage'!D12&gt;$A$1,$A$1,'Aglis Market Share'!D12*'Total Tonnage'!D12)</f>
        <v>3.2976000000000001</v>
      </c>
      <c r="E12" s="83">
        <f>IF('Aglis Market Share'!E12*'Total Tonnage'!E12&gt;$A$1,$A$1,'Aglis Market Share'!E12*'Total Tonnage'!E12)</f>
        <v>3.3552000000000004</v>
      </c>
      <c r="F12" s="83">
        <f>IF('Aglis Market Share'!F12*'Total Tonnage'!F12&gt;$A$1,$A$1,'Aglis Market Share'!F12*'Total Tonnage'!F12)</f>
        <v>3.4128000000000007</v>
      </c>
      <c r="G12" s="83">
        <f>IF('Aglis Market Share'!G12*'Total Tonnage'!G12&gt;$A$1,$A$1,'Aglis Market Share'!G12*'Total Tonnage'!G12)</f>
        <v>3.6642590886199464</v>
      </c>
      <c r="H12" s="83">
        <f>IF('Aglis Market Share'!H12*'Total Tonnage'!H12&gt;$A$1,$A$1,'Aglis Market Share'!H12*'Total Tonnage'!H12)</f>
        <v>3.7250766668543034</v>
      </c>
      <c r="I12" s="83">
        <f>IF('Aglis Market Share'!I12*'Total Tonnage'!I12&gt;$A$1,$A$1,'Aglis Market Share'!I12*'Total Tonnage'!I12)</f>
        <v>3.7858942450886599</v>
      </c>
      <c r="J12" s="83">
        <f>IF('Aglis Market Share'!J12*'Total Tonnage'!J12&gt;$A$1,$A$1,'Aglis Market Share'!J12*'Total Tonnage'!J12)</f>
        <v>3.8467118233230138</v>
      </c>
      <c r="K12" s="83">
        <f>IF('Aglis Market Share'!K12*'Total Tonnage'!K12&gt;$A$1,$A$1,'Aglis Market Share'!K12*'Total Tonnage'!K12)</f>
        <v>4.1253936203696773</v>
      </c>
      <c r="L12" s="83">
        <f>IF('Aglis Market Share'!L12*'Total Tonnage'!L12&gt;$A$1,$A$1,'Aglis Market Share'!L12*'Total Tonnage'!L12)</f>
        <v>4.1896020813871049</v>
      </c>
      <c r="M12" s="83">
        <f>IF('Aglis Market Share'!M12*'Total Tonnage'!M12&gt;$A$1,$A$1,'Aglis Market Share'!M12*'Total Tonnage'!M12)</f>
        <v>4.2538105424045307</v>
      </c>
      <c r="N12" s="83">
        <f>IF('Aglis Market Share'!N12*'Total Tonnage'!N12&gt;$A$1,$A$1,'Aglis Market Share'!N12*'Total Tonnage'!N12)</f>
        <v>4.3180190034219583</v>
      </c>
      <c r="O12" s="83">
        <f>IF('Aglis Market Share'!O12*'Total Tonnage'!O12&gt;$A$1,$A$1,'Aglis Market Share'!O12*'Total Tonnage'!O12)</f>
        <v>4.6261078906552671</v>
      </c>
      <c r="P12" s="83">
        <f>IF('Aglis Market Share'!P12*'Total Tonnage'!P12&gt;$A$1,$A$1,'Aglis Market Share'!P12*'Total Tonnage'!P12)</f>
        <v>4.6938896912509493</v>
      </c>
      <c r="Q12" s="83">
        <f>IF('Aglis Market Share'!Q12*'Total Tonnage'!Q12&gt;$A$1,$A$1,'Aglis Market Share'!Q12*'Total Tonnage'!Q12)</f>
        <v>4.7616714918466307</v>
      </c>
      <c r="R12" s="83">
        <f>IF('Aglis Market Share'!R12*'Total Tonnage'!R12&gt;$A$1,$A$1,'Aglis Market Share'!R12*'Total Tonnage'!R12)</f>
        <v>4.8294532924423121</v>
      </c>
      <c r="S12" s="83">
        <f>IF('Aglis Market Share'!S12*'Total Tonnage'!S12&gt;$A$1,$A$1,'Aglis Market Share'!S12*'Total Tonnage'!S12)</f>
        <v>5.1692871645992255</v>
      </c>
      <c r="T12" s="83">
        <f>IF('Aglis Market Share'!T12*'Total Tonnage'!T12&gt;$A$1,$A$1,'Aglis Market Share'!T12*'Total Tonnage'!T12)</f>
        <v>5.2408343917909104</v>
      </c>
      <c r="U12" s="83">
        <f>IF('Aglis Market Share'!U12*'Total Tonnage'!U12&gt;$A$1,$A$1,'Aglis Market Share'!U12*'Total Tonnage'!U12)</f>
        <v>5.3123816189825952</v>
      </c>
      <c r="V12" s="83">
        <f>IF('Aglis Market Share'!V12*'Total Tonnage'!V12&gt;$A$1,$A$1,'Aglis Market Share'!V12*'Total Tonnage'!V12)</f>
        <v>5.38392884617428</v>
      </c>
      <c r="W12" s="83">
        <f>IF('Aglis Market Share'!W12*'Total Tonnage'!W12&gt;$A$1,$A$1,'Aglis Market Share'!W12*'Total Tonnage'!W12)</f>
        <v>5.4054576839682085</v>
      </c>
      <c r="X12" s="83">
        <f>IF('Aglis Market Share'!X12*'Total Tonnage'!X12&gt;$A$1,$A$1,'Aglis Market Share'!X12*'Total Tonnage'!X12)</f>
        <v>5.4183830340708772</v>
      </c>
      <c r="Y12" s="83">
        <f>IF('Aglis Market Share'!Y12*'Total Tonnage'!Y12&gt;$A$1,$A$1,'Aglis Market Share'!Y12*'Total Tonnage'!Y12)</f>
        <v>5.4313342348737521</v>
      </c>
      <c r="Z12" s="83">
        <f>IF('Aglis Market Share'!Z12*'Total Tonnage'!Z12&gt;$A$1,$A$1,'Aglis Market Share'!Z12*'Total Tonnage'!Z12)</f>
        <v>5.4443113380782311</v>
      </c>
      <c r="AA12" s="83">
        <f>IF('Aglis Market Share'!AA12*'Total Tonnage'!AA12&gt;$A$1,$A$1,'Aglis Market Share'!AA12*'Total Tonnage'!AA12)</f>
        <v>5.4790624756257262</v>
      </c>
      <c r="AB12" s="83">
        <f>IF('Aglis Market Share'!AB12*'Total Tonnage'!AB12&gt;$A$1,$A$1,'Aglis Market Share'!AB12*'Total Tonnage'!AB12)</f>
        <v>5.5052075949976933</v>
      </c>
      <c r="AC12" s="83">
        <f>IF('Aglis Market Share'!AC12*'Total Tonnage'!AC12&gt;$A$1,$A$1,'Aglis Market Share'!AC12*'Total Tonnage'!AC12)</f>
        <v>5.5314572948471499</v>
      </c>
      <c r="AD12" s="83">
        <f>IF('Aglis Market Share'!AD12*'Total Tonnage'!AD12&gt;$A$1,$A$1,'Aglis Market Share'!AD12*'Total Tonnage'!AD12)</f>
        <v>5.557811993496002</v>
      </c>
      <c r="AE12" s="83">
        <f>IF('Aglis Market Share'!AE12*'Total Tonnage'!AE12&gt;$A$1,$A$1,'Aglis Market Share'!AE12*'Total Tonnage'!AE12)</f>
        <v>5.606417583394995</v>
      </c>
      <c r="AF12" s="83">
        <f>IF('Aglis Market Share'!AF12*'Total Tonnage'!AF12&gt;$A$1,$A$1,'Aglis Market Share'!AF12*'Total Tonnage'!AF12)</f>
        <v>5.6463993930995615</v>
      </c>
      <c r="AG12" s="83">
        <f>IF('Aglis Market Share'!AG12*'Total Tonnage'!AG12&gt;$A$1,$A$1,'Aglis Market Share'!AG12*'Total Tonnage'!AG12)</f>
        <v>5.6677950939747062</v>
      </c>
      <c r="AH12" s="83">
        <f>IF('Aglis Market Share'!AH12*'Total Tonnage'!AH12&gt;$A$1,$A$1,'Aglis Market Share'!AH12*'Total Tonnage'!AH12)</f>
        <v>5.7081241687427493</v>
      </c>
      <c r="AI12" s="83">
        <f>IF('Aglis Market Share'!AI12*'Total Tonnage'!AI12&gt;$A$1,$A$1,'Aglis Market Share'!AI12*'Total Tonnage'!AI12)</f>
        <v>5.7404686979434372</v>
      </c>
      <c r="AJ12" s="83">
        <f>IF('Aglis Market Share'!AJ12*'Total Tonnage'!AJ12&gt;$A$1,$A$1,'Aglis Market Share'!AJ12*'Total Tonnage'!AJ12)</f>
        <v>5.7907094148267282</v>
      </c>
      <c r="AK12" s="83">
        <f>IF('Aglis Market Share'!AK12*'Total Tonnage'!AK12&gt;$A$1,$A$1,'Aglis Market Share'!AK12*'Total Tonnage'!AK12)</f>
        <v>5.8413219130149567</v>
      </c>
      <c r="AL12" s="83">
        <f>IF('Aglis Market Share'!AL12*'Total Tonnage'!AL12&gt;$A$1,$A$1,'Aglis Market Share'!AL12*'Total Tonnage'!AL12)</f>
        <v>5.8678903858984652</v>
      </c>
      <c r="AM12" s="83">
        <f>IF('Aglis Market Share'!AM12*'Total Tonnage'!AM12&gt;$A$1,$A$1,'Aglis Market Share'!AM12*'Total Tonnage'!AM12)</f>
        <v>5.8976174946425672</v>
      </c>
      <c r="AN12" s="83">
        <f>IF('Aglis Market Share'!AN12*'Total Tonnage'!AN12&gt;$A$1,$A$1,'Aglis Market Share'!AN12*'Total Tonnage'!AN12)</f>
        <v>5.8976174946425672</v>
      </c>
      <c r="AO12" s="83">
        <f>IF('Aglis Market Share'!AO12*'Total Tonnage'!AO12&gt;$A$1,$A$1,'Aglis Market Share'!AO12*'Total Tonnage'!AO12)</f>
        <v>5.8976174946425672</v>
      </c>
      <c r="AP12" s="83">
        <f>IF('Aglis Market Share'!AP12*'Total Tonnage'!AP12&gt;$A$1,$A$1,'Aglis Market Share'!AP12*'Total Tonnage'!AP12)</f>
        <v>5.8976174946425672</v>
      </c>
      <c r="AQ12" s="15"/>
      <c r="AR12" s="15"/>
      <c r="AS12" s="15"/>
      <c r="AT12" s="15"/>
      <c r="BH12" s="57">
        <f>R12/'Total Tonnage'!V12</f>
        <v>0.13547679297121601</v>
      </c>
      <c r="BI12" s="17">
        <f>R12/27</f>
        <v>0.17886864046082637</v>
      </c>
      <c r="BK12" s="30">
        <v>9</v>
      </c>
      <c r="BL12" s="31" t="s">
        <v>24</v>
      </c>
      <c r="BM12" s="32">
        <v>3184.8838599999999</v>
      </c>
    </row>
    <row r="13" spans="1:65">
      <c r="A13" s="107">
        <v>3</v>
      </c>
      <c r="B13" s="50" t="s">
        <v>23</v>
      </c>
      <c r="C13" s="105">
        <v>0</v>
      </c>
      <c r="D13" s="105">
        <v>0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83">
        <f>IF('Aglis Market Share'!K13*'Total Tonnage'!K13&gt;$A$1,$A$1,'Aglis Market Share'!K13*'Total Tonnage'!K13)</f>
        <v>4.5075436194132443</v>
      </c>
      <c r="L13" s="83">
        <f>IF('Aglis Market Share'!L13*'Total Tonnage'!L13&gt;$A$1,$A$1,'Aglis Market Share'!L13*'Total Tonnage'!L13)</f>
        <v>4.6067095790403352</v>
      </c>
      <c r="M13" s="83">
        <f>IF('Aglis Market Share'!M13*'Total Tonnage'!M13&gt;$A$1,$A$1,'Aglis Market Share'!M13*'Total Tonnage'!M13)</f>
        <v>4.7058755386674269</v>
      </c>
      <c r="N13" s="83">
        <f>IF('Aglis Market Share'!N13*'Total Tonnage'!N13&gt;$A$1,$A$1,'Aglis Market Share'!N13*'Total Tonnage'!N13)</f>
        <v>4.8050414982945178</v>
      </c>
      <c r="O13" s="83">
        <f>IF('Aglis Market Share'!O13*'Total Tonnage'!O13&gt;$A$1,$A$1,'Aglis Market Share'!O13*'Total Tonnage'!O13)</f>
        <v>5.017958807080042</v>
      </c>
      <c r="P13" s="83">
        <f>IF('Aglis Market Share'!P13*'Total Tonnage'!P13&gt;$A$1,$A$1,'Aglis Market Share'!P13*'Total Tonnage'!P13)</f>
        <v>5.1194248858996749</v>
      </c>
      <c r="Q13" s="83">
        <f>IF('Aglis Market Share'!Q13*'Total Tonnage'!Q13&gt;$A$1,$A$1,'Aglis Market Share'!Q13*'Total Tonnage'!Q13)</f>
        <v>5.2208909647193087</v>
      </c>
      <c r="R13" s="83">
        <f>IF('Aglis Market Share'!R13*'Total Tonnage'!R13&gt;$A$1,$A$1,'Aglis Market Share'!R13*'Total Tonnage'!R13)</f>
        <v>5.3223570435389416</v>
      </c>
      <c r="S13" s="83">
        <f>IF('Aglis Market Share'!S13*'Total Tonnage'!S13&gt;$A$1,$A$1,'Aglis Market Share'!S13*'Total Tonnage'!S13)</f>
        <v>5.5492339848057455</v>
      </c>
      <c r="T13" s="83">
        <f>IF('Aglis Market Share'!T13*'Total Tonnage'!T13&gt;$A$1,$A$1,'Aglis Market Share'!T13*'Total Tonnage'!T13)</f>
        <v>5.6530461852017719</v>
      </c>
      <c r="U13" s="83">
        <f>IF('Aglis Market Share'!U13*'Total Tonnage'!U13&gt;$A$1,$A$1,'Aglis Market Share'!U13*'Total Tonnage'!U13)</f>
        <v>5.7568583855977975</v>
      </c>
      <c r="V13" s="83">
        <f>IF('Aglis Market Share'!V13*'Total Tonnage'!V13&gt;$A$1,$A$1,'Aglis Market Share'!V13*'Total Tonnage'!V13)</f>
        <v>5.8606705859938231</v>
      </c>
      <c r="W13" s="83">
        <f>IF('Aglis Market Share'!W13*'Total Tonnage'!W13&gt;$A$1,$A$1,'Aglis Market Share'!W13*'Total Tonnage'!W13)</f>
        <v>5.8832481474242151</v>
      </c>
      <c r="X13" s="83">
        <f>IF('Aglis Market Share'!X13*'Total Tonnage'!X13&gt;$A$1,$A$1,'Aglis Market Share'!X13*'Total Tonnage'!X13)</f>
        <v>5.8968031237190619</v>
      </c>
      <c r="Y13" s="83">
        <f>IF('Aglis Market Share'!Y13*'Total Tonnage'!Y13&gt;$A$1,$A$1,'Aglis Market Share'!Y13*'Total Tonnage'!Y13)</f>
        <v>5.9103852099665</v>
      </c>
      <c r="Z13" s="83">
        <f>IF('Aglis Market Share'!Z13*'Total Tonnage'!Z13&gt;$A$1,$A$1,'Aglis Market Share'!Z13*'Total Tonnage'!Z13)</f>
        <v>5.9239944603864334</v>
      </c>
      <c r="AA13" s="83">
        <f>IF('Aglis Market Share'!AA13*'Total Tonnage'!AA13&gt;$A$1,$A$1,'Aglis Market Share'!AA13*'Total Tonnage'!AA13)</f>
        <v>5.9604384129241694</v>
      </c>
      <c r="AB13" s="83">
        <f>IF('Aglis Market Share'!AB13*'Total Tonnage'!AB13&gt;$A$1,$A$1,'Aglis Market Share'!AB13*'Total Tonnage'!AB13)</f>
        <v>5.9878571265758662</v>
      </c>
      <c r="AC13" s="83">
        <f>IF('Aglis Market Share'!AC13*'Total Tonnage'!AC13&gt;$A$1,$A$1,'Aglis Market Share'!AC13*'Total Tonnage'!AC13)</f>
        <v>6.0153855150821691</v>
      </c>
      <c r="AD13" s="83">
        <f>IF('Aglis Market Share'!AD13*'Total Tonnage'!AD13&gt;$A$1,$A$1,'Aglis Market Share'!AD13*'Total Tonnage'!AD13)</f>
        <v>6.0430240171424972</v>
      </c>
      <c r="AE13" s="83">
        <f>IF('Aglis Market Share'!AE13*'Total Tonnage'!AE13&gt;$A$1,$A$1,'Aglis Market Share'!AE13*'Total Tonnage'!AE13)</f>
        <v>6.1070815740192899</v>
      </c>
      <c r="AF13" s="83">
        <f>IF('Aglis Market Share'!AF13*'Total Tonnage'!AF13&gt;$A$1,$A$1,'Aglis Market Share'!AF13*'Total Tonnage'!AF13)</f>
        <v>6.1622753159614527</v>
      </c>
      <c r="AG13" s="83">
        <f>IF('Aglis Market Share'!AG13*'Total Tonnage'!AG13&gt;$A$1,$A$1,'Aglis Market Share'!AG13*'Total Tonnage'!AG13)</f>
        <v>6.2179023061102567</v>
      </c>
      <c r="AH13" s="83">
        <f>IF('Aglis Market Share'!AH13*'Total Tonnage'!AH13&gt;$A$1,$A$1,'Aglis Market Share'!AH13*'Total Tonnage'!AH13)</f>
        <v>6.273965687349472</v>
      </c>
      <c r="AI13" s="83">
        <f>IF('Aglis Market Share'!AI13*'Total Tonnage'!AI13&gt;$A$1,$A$1,'Aglis Market Share'!AI13*'Total Tonnage'!AI13)</f>
        <v>6.3502416354482873</v>
      </c>
      <c r="AJ13" s="83">
        <f>IF('Aglis Market Share'!AJ13*'Total Tonnage'!AJ13&gt;$A$1,$A$1,'Aglis Market Share'!AJ13*'Total Tonnage'!AJ13)</f>
        <v>6.4175254972023295</v>
      </c>
      <c r="AK13" s="83">
        <f>IF('Aglis Market Share'!AK13*'Total Tonnage'!AK13&gt;$A$1,$A$1,'Aglis Market Share'!AK13*'Total Tonnage'!AK13)</f>
        <v>6.461428910342863</v>
      </c>
      <c r="AL13" s="83">
        <f>IF('Aglis Market Share'!AL13*'Total Tonnage'!AL13&gt;$A$1,$A$1,'Aglis Market Share'!AL13*'Total Tonnage'!AL13)</f>
        <v>6.4898313405736143</v>
      </c>
      <c r="AM13" s="83">
        <f>IF('Aglis Market Share'!AM13*'Total Tonnage'!AM13&gt;$A$1,$A$1,'Aglis Market Share'!AM13*'Total Tonnage'!AM13)</f>
        <v>6.5597102454303506</v>
      </c>
      <c r="AN13" s="83">
        <f>IF('Aglis Market Share'!AN13*'Total Tonnage'!AN13&gt;$A$1,$A$1,'Aglis Market Share'!AN13*'Total Tonnage'!AN13)</f>
        <v>6.5597102454303506</v>
      </c>
      <c r="AO13" s="83">
        <f>IF('Aglis Market Share'!AO13*'Total Tonnage'!AO13&gt;$A$1,$A$1,'Aglis Market Share'!AO13*'Total Tonnage'!AO13)</f>
        <v>6.5318558494837253</v>
      </c>
      <c r="AP13" s="83">
        <f>IF('Aglis Market Share'!AP13*'Total Tonnage'!AP13&gt;$A$1,$A$1,'Aglis Market Share'!AP13*'Total Tonnage'!AP13)</f>
        <v>6.5318558494837253</v>
      </c>
      <c r="AQ13" s="15"/>
      <c r="AR13" s="15"/>
      <c r="AS13" s="15"/>
      <c r="AT13" s="15"/>
      <c r="BH13" s="57">
        <f>V13/'Total Tonnage'!V13</f>
        <v>0.18629999999999997</v>
      </c>
      <c r="BI13" s="17">
        <f t="shared" ref="BI13:BI20" si="7">V13/27</f>
        <v>0.21706187355532677</v>
      </c>
      <c r="BK13" s="30">
        <v>10</v>
      </c>
      <c r="BL13" s="31" t="s">
        <v>72</v>
      </c>
      <c r="BM13" s="32">
        <v>1514.38894</v>
      </c>
    </row>
    <row r="14" spans="1:65">
      <c r="A14" s="108"/>
      <c r="B14" s="50" t="s">
        <v>24</v>
      </c>
      <c r="C14" s="105">
        <v>0</v>
      </c>
      <c r="D14" s="105">
        <v>0</v>
      </c>
      <c r="E14" s="105">
        <v>0</v>
      </c>
      <c r="F14" s="105">
        <v>0</v>
      </c>
      <c r="G14" s="105">
        <v>0</v>
      </c>
      <c r="H14" s="105">
        <v>0</v>
      </c>
      <c r="I14" s="105">
        <v>0</v>
      </c>
      <c r="J14" s="105">
        <v>0</v>
      </c>
      <c r="K14" s="83">
        <f>IF('Aglis Market Share'!K14*'Total Tonnage'!K14&gt;$A$1,$A$1,'Aglis Market Share'!K14*'Total Tonnage'!K14)</f>
        <v>16.312080639999998</v>
      </c>
      <c r="L14" s="83">
        <f>IF('Aglis Market Share'!L14*'Total Tonnage'!L14&gt;$A$1,$A$1,'Aglis Market Share'!L14*'Total Tonnage'!L14)</f>
        <v>16.531005932799999</v>
      </c>
      <c r="M14" s="83">
        <f>IF('Aglis Market Share'!M14*'Total Tonnage'!M14&gt;$A$1,$A$1,'Aglis Market Share'!M14*'Total Tonnage'!M14)</f>
        <v>16.749931225599997</v>
      </c>
      <c r="N14" s="83">
        <f>IF('Aglis Market Share'!N14*'Total Tonnage'!N14&gt;$A$1,$A$1,'Aglis Market Share'!N14*'Total Tonnage'!N14)</f>
        <v>16.968856518399999</v>
      </c>
      <c r="O14" s="83">
        <f>IF('Aglis Market Share'!O14*'Total Tonnage'!O14&gt;$A$1,$A$1,'Aglis Market Share'!O14*'Total Tonnage'!O14)</f>
        <v>17.187781811199997</v>
      </c>
      <c r="P14" s="83">
        <f>IF('Aglis Market Share'!P14*'Total Tonnage'!P14&gt;$A$1,$A$1,'Aglis Market Share'!P14*'Total Tonnage'!P14)</f>
        <v>17.406707103999999</v>
      </c>
      <c r="Q14" s="83">
        <f>IF('Aglis Market Share'!Q14*'Total Tonnage'!Q14&gt;$A$1,$A$1,'Aglis Market Share'!Q14*'Total Tonnage'!Q14)</f>
        <v>17.625632396799997</v>
      </c>
      <c r="R14" s="83">
        <f>IF('Aglis Market Share'!R14*'Total Tonnage'!R14&gt;$A$1,$A$1,'Aglis Market Share'!R14*'Total Tonnage'!R14)</f>
        <v>17.844557689599995</v>
      </c>
      <c r="S14" s="83">
        <f>IF('Aglis Market Share'!S14*'Total Tonnage'!S14&gt;$A$1,$A$1,'Aglis Market Share'!S14*'Total Tonnage'!S14)</f>
        <v>18.059190329599996</v>
      </c>
      <c r="T14" s="83">
        <f>IF('Aglis Market Share'!T14*'Total Tonnage'!T14&gt;$A$1,$A$1,'Aglis Market Share'!T14*'Total Tonnage'!T14)</f>
        <v>18.273822969599998</v>
      </c>
      <c r="U14" s="83">
        <f>IF('Aglis Market Share'!U14*'Total Tonnage'!U14&gt;$A$1,$A$1,'Aglis Market Share'!U14*'Total Tonnage'!U14)</f>
        <v>18.488455609599995</v>
      </c>
      <c r="V14" s="83">
        <f>IF('Aglis Market Share'!V14*'Total Tonnage'!V14&gt;$A$1,$A$1,'Aglis Market Share'!V14*'Total Tonnage'!V14)</f>
        <v>18.703088249599997</v>
      </c>
      <c r="W14" s="83">
        <f>IF('Aglis Market Share'!W14*'Total Tonnage'!W14&gt;$A$1,$A$1,'Aglis Market Share'!W14*'Total Tonnage'!W14)</f>
        <v>18.917720889599998</v>
      </c>
      <c r="X14" s="83">
        <f>IF('Aglis Market Share'!X14*'Total Tonnage'!X14&gt;$A$1,$A$1,'Aglis Market Share'!X14*'Total Tonnage'!X14)</f>
        <v>19.132353529599996</v>
      </c>
      <c r="Y14" s="83">
        <f>IF('Aglis Market Share'!Y14*'Total Tonnage'!Y14&gt;$A$1,$A$1,'Aglis Market Share'!Y14*'Total Tonnage'!Y14)</f>
        <v>19.346986169599997</v>
      </c>
      <c r="Z14" s="83">
        <f>IF('Aglis Market Share'!Z14*'Total Tonnage'!Z14&gt;$A$1,$A$1,'Aglis Market Share'!Z14*'Total Tonnage'!Z14)</f>
        <v>19.561618809599999</v>
      </c>
      <c r="AA14" s="83">
        <f>IF('Aglis Market Share'!AA14*'Total Tonnage'!AA14&gt;$A$1,$A$1,'Aglis Market Share'!AA14*'Total Tonnage'!AA14)</f>
        <v>19.308352294399999</v>
      </c>
      <c r="AB14" s="83">
        <f>IF('Aglis Market Share'!AB14*'Total Tonnage'!AB14&gt;$A$1,$A$1,'Aglis Market Share'!AB14*'Total Tonnage'!AB14)</f>
        <v>19.308352294399999</v>
      </c>
      <c r="AC14" s="83">
        <f>IF('Aglis Market Share'!AC14*'Total Tonnage'!AC14&gt;$A$1,$A$1,'Aglis Market Share'!AC14*'Total Tonnage'!AC14)</f>
        <v>19.308352294399999</v>
      </c>
      <c r="AD14" s="83">
        <f>IF('Aglis Market Share'!AD14*'Total Tonnage'!AD14&gt;$A$1,$A$1,'Aglis Market Share'!AD14*'Total Tonnage'!AD14)</f>
        <v>19.679323695479777</v>
      </c>
      <c r="AE14" s="83">
        <f>IF('Aglis Market Share'!AE14*'Total Tonnage'!AE14&gt;$A$1,$A$1,'Aglis Market Share'!AE14*'Total Tonnage'!AE14)</f>
        <v>19.679323695479777</v>
      </c>
      <c r="AF14" s="83">
        <f>IF('Aglis Market Share'!AF14*'Total Tonnage'!AF14&gt;$A$1,$A$1,'Aglis Market Share'!AF14*'Total Tonnage'!AF14)</f>
        <v>19.722250223479779</v>
      </c>
      <c r="AG14" s="83">
        <f>IF('Aglis Market Share'!AG14*'Total Tonnage'!AG14&gt;$A$1,$A$1,'Aglis Market Share'!AG14*'Total Tonnage'!AG14)</f>
        <v>19.765176751479778</v>
      </c>
      <c r="AH14" s="83">
        <f>IF('Aglis Market Share'!AH14*'Total Tonnage'!AH14&gt;$A$1,$A$1,'Aglis Market Share'!AH14*'Total Tonnage'!AH14)</f>
        <v>19.808103279479777</v>
      </c>
      <c r="AI14" s="83">
        <f>IF('Aglis Market Share'!AI14*'Total Tonnage'!AI14&gt;$A$1,$A$1,'Aglis Market Share'!AI14*'Total Tonnage'!AI14)</f>
        <v>19.85102980747978</v>
      </c>
      <c r="AJ14" s="83">
        <f>IF('Aglis Market Share'!AJ14*'Total Tonnage'!AJ14&gt;$A$1,$A$1,'Aglis Market Share'!AJ14*'Total Tonnage'!AJ14)</f>
        <v>19.893956335479778</v>
      </c>
      <c r="AK14" s="83">
        <f>IF('Aglis Market Share'!AK14*'Total Tonnage'!AK14&gt;$A$1,$A$1,'Aglis Market Share'!AK14*'Total Tonnage'!AK14)</f>
        <v>19.836348588799996</v>
      </c>
      <c r="AL14" s="83">
        <f>IF('Aglis Market Share'!AL14*'Total Tonnage'!AL14&gt;$A$1,$A$1,'Aglis Market Share'!AL14*'Total Tonnage'!AL14)</f>
        <v>19.836348588799996</v>
      </c>
      <c r="AM14" s="83">
        <f>IF('Aglis Market Share'!AM14*'Total Tonnage'!AM14&gt;$A$1,$A$1,'Aglis Market Share'!AM14*'Total Tonnage'!AM14)</f>
        <v>19.836348588799996</v>
      </c>
      <c r="AN14" s="83">
        <f>IF('Aglis Market Share'!AN14*'Total Tonnage'!AN14&gt;$A$1,$A$1,'Aglis Market Share'!AN14*'Total Tonnage'!AN14)</f>
        <v>19.836348588799996</v>
      </c>
      <c r="AO14" s="83">
        <f>IF('Aglis Market Share'!AO14*'Total Tonnage'!AO14&gt;$A$1,$A$1,'Aglis Market Share'!AO14*'Total Tonnage'!AO14)</f>
        <v>19.836348588799996</v>
      </c>
      <c r="AP14" s="83">
        <f>IF('Aglis Market Share'!AP14*'Total Tonnage'!AP14&gt;$A$1,$A$1,'Aglis Market Share'!AP14*'Total Tonnage'!AP14)</f>
        <v>19.836348588799996</v>
      </c>
      <c r="AQ14" s="15"/>
      <c r="AR14" s="15"/>
      <c r="AS14" s="15"/>
      <c r="AT14" s="15"/>
      <c r="BH14" s="57">
        <f>V14/'Total Tonnage'!V14</f>
        <v>0.43570000000000003</v>
      </c>
      <c r="BI14" s="17">
        <f t="shared" si="7"/>
        <v>0.69270697220740729</v>
      </c>
      <c r="BK14" s="30">
        <v>11</v>
      </c>
      <c r="BL14" s="31" t="s">
        <v>28</v>
      </c>
      <c r="BM14" s="32">
        <v>2360.9017800000001</v>
      </c>
    </row>
    <row r="15" spans="1:65">
      <c r="A15" s="108"/>
      <c r="B15" s="50" t="s">
        <v>25</v>
      </c>
      <c r="C15" s="105">
        <v>0</v>
      </c>
      <c r="D15" s="105">
        <v>0</v>
      </c>
      <c r="E15" s="105">
        <v>0</v>
      </c>
      <c r="F15" s="105">
        <v>0</v>
      </c>
      <c r="G15" s="105">
        <v>0</v>
      </c>
      <c r="H15" s="105">
        <v>0</v>
      </c>
      <c r="I15" s="105">
        <v>0</v>
      </c>
      <c r="J15" s="105">
        <v>0</v>
      </c>
      <c r="K15" s="83">
        <f>IF('Aglis Market Share'!K15*'Total Tonnage'!K15&gt;$A$1,$A$1,'Aglis Market Share'!K15*'Total Tonnage'!K15)</f>
        <v>16.568634605349214</v>
      </c>
      <c r="L15" s="83">
        <f>IF('Aglis Market Share'!L15*'Total Tonnage'!L15&gt;$A$1,$A$1,'Aglis Market Share'!L15*'Total Tonnage'!L15)</f>
        <v>16.791003122421007</v>
      </c>
      <c r="M15" s="83">
        <f>IF('Aglis Market Share'!M15*'Total Tonnage'!M15&gt;$A$1,$A$1,'Aglis Market Share'!M15*'Total Tonnage'!M15)</f>
        <v>17.013371639492799</v>
      </c>
      <c r="N15" s="83">
        <f>IF('Aglis Market Share'!N15*'Total Tonnage'!N15&gt;$A$1,$A$1,'Aglis Market Share'!N15*'Total Tonnage'!N15)</f>
        <v>17.235740156564589</v>
      </c>
      <c r="O15" s="83">
        <f>IF('Aglis Market Share'!O15*'Total Tonnage'!O15&gt;$A$1,$A$1,'Aglis Market Share'!O15*'Total Tonnage'!O15)</f>
        <v>17.925789247109105</v>
      </c>
      <c r="P15" s="83">
        <f>IF('Aglis Market Share'!P15*'Total Tonnage'!P15&gt;$A$1,$A$1,'Aglis Market Share'!P15*'Total Tonnage'!P15)</f>
        <v>18.154114734522338</v>
      </c>
      <c r="Q15" s="83">
        <f>IF('Aglis Market Share'!Q15*'Total Tonnage'!Q15&gt;$A$1,$A$1,'Aglis Market Share'!Q15*'Total Tonnage'!Q15)</f>
        <v>18.382440221935568</v>
      </c>
      <c r="R15" s="83">
        <f>IF('Aglis Market Share'!R15*'Total Tonnage'!R15&gt;$A$1,$A$1,'Aglis Market Share'!R15*'Total Tonnage'!R15)</f>
        <v>18.61076570934879</v>
      </c>
      <c r="S15" s="83">
        <f>IF('Aglis Market Share'!S15*'Total Tonnage'!S15&gt;$A$1,$A$1,'Aglis Market Share'!S15*'Total Tonnage'!S15)</f>
        <v>19.335833710948997</v>
      </c>
      <c r="T15" s="83">
        <f>IF('Aglis Market Share'!T15*'Total Tonnage'!T15&gt;$A$1,$A$1,'Aglis Market Share'!T15*'Total Tonnage'!T15)</f>
        <v>19.565639198362224</v>
      </c>
      <c r="U15" s="83">
        <f>IF('Aglis Market Share'!U15*'Total Tonnage'!U15&gt;$A$1,$A$1,'Aglis Market Share'!U15*'Total Tonnage'!U15)</f>
        <v>19.795444685775447</v>
      </c>
      <c r="V15" s="83">
        <f>IF('Aglis Market Share'!V15*'Total Tonnage'!V15&gt;$A$1,$A$1,'Aglis Market Share'!V15*'Total Tonnage'!V15)</f>
        <v>20.025250173188681</v>
      </c>
      <c r="W15" s="83">
        <f>IF('Aglis Market Share'!W15*'Total Tonnage'!W15&gt;$A$1,$A$1,'Aglis Market Share'!W15*'Total Tonnage'!W15)</f>
        <v>20.344556289711342</v>
      </c>
      <c r="X15" s="83">
        <f>IF('Aglis Market Share'!X15*'Total Tonnage'!X15&gt;$A$1,$A$1,'Aglis Market Share'!X15*'Total Tonnage'!X15)</f>
        <v>20.629720688688433</v>
      </c>
      <c r="Y15" s="83">
        <f>IF('Aglis Market Share'!Y15*'Total Tonnage'!Y15&gt;$A$1,$A$1,'Aglis Market Share'!Y15*'Total Tonnage'!Y15)</f>
        <v>20.916214277596278</v>
      </c>
      <c r="Z15" s="83">
        <f>IF('Aglis Market Share'!Z15*'Total Tonnage'!Z15&gt;$A$1,$A$1,'Aglis Market Share'!Z15*'Total Tonnage'!Z15)</f>
        <v>21.204040936536995</v>
      </c>
      <c r="AA15" s="83">
        <f>IF('Aglis Market Share'!AA15*'Total Tonnage'!AA15&gt;$A$1,$A$1,'Aglis Market Share'!AA15*'Total Tonnage'!AA15)</f>
        <v>21.076961882828414</v>
      </c>
      <c r="AB15" s="83">
        <f>IF('Aglis Market Share'!AB15*'Total Tonnage'!AB15&gt;$A$1,$A$1,'Aglis Market Share'!AB15*'Total Tonnage'!AB15)</f>
        <v>21.187897890359736</v>
      </c>
      <c r="AC15" s="83">
        <f>IF('Aglis Market Share'!AC15*'Total Tonnage'!AC15&gt;$A$1,$A$1,'Aglis Market Share'!AC15*'Total Tonnage'!AC15)</f>
        <v>21.299277641921172</v>
      </c>
      <c r="AD15" s="83">
        <f>IF('Aglis Market Share'!AD15*'Total Tonnage'!AD15&gt;$A$1,$A$1,'Aglis Market Share'!AD15*'Total Tonnage'!AD15)</f>
        <v>21.6</v>
      </c>
      <c r="AE15" s="83">
        <f>IF('Aglis Market Share'!AE15*'Total Tonnage'!AE15&gt;$A$1,$A$1,'Aglis Market Share'!AE15*'Total Tonnage'!AE15)</f>
        <v>21.6</v>
      </c>
      <c r="AF15" s="83">
        <f>IF('Aglis Market Share'!AF15*'Total Tonnage'!AF15&gt;$A$1,$A$1,'Aglis Market Share'!AF15*'Total Tonnage'!AF15)</f>
        <v>21.6</v>
      </c>
      <c r="AG15" s="83">
        <f>IF('Aglis Market Share'!AG15*'Total Tonnage'!AG15&gt;$A$1,$A$1,'Aglis Market Share'!AG15*'Total Tonnage'!AG15)</f>
        <v>21.6</v>
      </c>
      <c r="AH15" s="83">
        <f>IF('Aglis Market Share'!AH15*'Total Tonnage'!AH15&gt;$A$1,$A$1,'Aglis Market Share'!AH15*'Total Tonnage'!AH15)</f>
        <v>21.6</v>
      </c>
      <c r="AI15" s="83">
        <f>IF('Aglis Market Share'!AI15*'Total Tonnage'!AI15&gt;$A$1,$A$1,'Aglis Market Share'!AI15*'Total Tonnage'!AI15)</f>
        <v>21.6</v>
      </c>
      <c r="AJ15" s="83">
        <f>IF('Aglis Market Share'!AJ15*'Total Tonnage'!AJ15&gt;$A$1,$A$1,'Aglis Market Share'!AJ15*'Total Tonnage'!AJ15)</f>
        <v>21.6</v>
      </c>
      <c r="AK15" s="83">
        <f>IF('Aglis Market Share'!AK15*'Total Tonnage'!AK15&gt;$A$1,$A$1,'Aglis Market Share'!AK15*'Total Tonnage'!AK15)</f>
        <v>21.6</v>
      </c>
      <c r="AL15" s="83">
        <f>IF('Aglis Market Share'!AL15*'Total Tonnage'!AL15&gt;$A$1,$A$1,'Aglis Market Share'!AL15*'Total Tonnage'!AL15)</f>
        <v>21.6</v>
      </c>
      <c r="AM15" s="83">
        <f>IF('Aglis Market Share'!AM15*'Total Tonnage'!AM15&gt;$A$1,$A$1,'Aglis Market Share'!AM15*'Total Tonnage'!AM15)</f>
        <v>21.6</v>
      </c>
      <c r="AN15" s="83">
        <f>IF('Aglis Market Share'!AN15*'Total Tonnage'!AN15&gt;$A$1,$A$1,'Aglis Market Share'!AN15*'Total Tonnage'!AN15)</f>
        <v>21.6</v>
      </c>
      <c r="AO15" s="83">
        <f>IF('Aglis Market Share'!AO15*'Total Tonnage'!AO15&gt;$A$1,$A$1,'Aglis Market Share'!AO15*'Total Tonnage'!AO15)</f>
        <v>21.6</v>
      </c>
      <c r="AP15" s="83">
        <f>IF('Aglis Market Share'!AP15*'Total Tonnage'!AP15&gt;$A$1,$A$1,'Aglis Market Share'!AP15*'Total Tonnage'!AP15)</f>
        <v>21.6</v>
      </c>
      <c r="AQ15" s="15"/>
      <c r="AR15" s="15"/>
      <c r="AS15" s="15"/>
      <c r="AT15" s="15"/>
      <c r="BH15" s="57">
        <f>V15/'Total Tonnage'!V15</f>
        <v>0.43570000000000009</v>
      </c>
      <c r="BI15" s="17">
        <f t="shared" si="7"/>
        <v>0.74167593234032148</v>
      </c>
      <c r="BK15" s="33">
        <v>12</v>
      </c>
      <c r="BL15" s="34" t="s">
        <v>73</v>
      </c>
      <c r="BM15" s="35">
        <v>2198.35844</v>
      </c>
    </row>
    <row r="16" spans="1:65">
      <c r="A16" s="109"/>
      <c r="B16" s="50" t="s">
        <v>27</v>
      </c>
      <c r="C16" s="105">
        <v>0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0</v>
      </c>
      <c r="K16" s="83">
        <f>IF('Aglis Market Share'!K16*'Total Tonnage'!K16&gt;$A$1,$A$1,'Aglis Market Share'!K16*'Total Tonnage'!K16)</f>
        <v>2.6147443780162396</v>
      </c>
      <c r="L16" s="83">
        <f>IF('Aglis Market Share'!L16*'Total Tonnage'!L16&gt;$A$1,$A$1,'Aglis Market Share'!L16*'Total Tonnage'!L16)</f>
        <v>2.656063795347853</v>
      </c>
      <c r="M16" s="83">
        <f>IF('Aglis Market Share'!M16*'Total Tonnage'!M16&gt;$A$1,$A$1,'Aglis Market Share'!M16*'Total Tonnage'!M16)</f>
        <v>2.6973832126794672</v>
      </c>
      <c r="N16" s="83">
        <f>IF('Aglis Market Share'!N16*'Total Tonnage'!N16&gt;$A$1,$A$1,'Aglis Market Share'!N16*'Total Tonnage'!N16)</f>
        <v>2.7387026300110819</v>
      </c>
      <c r="O16" s="83">
        <f>IF('Aglis Market Share'!O16*'Total Tonnage'!O16&gt;$A$1,$A$1,'Aglis Market Share'!O16*'Total Tonnage'!O16)</f>
        <v>2.9232487272361638</v>
      </c>
      <c r="P16" s="83">
        <f>IF('Aglis Market Share'!P16*'Total Tonnage'!P16&gt;$A$1,$A$1,'Aglis Market Share'!P16*'Total Tonnage'!P16)</f>
        <v>2.9668329767143549</v>
      </c>
      <c r="Q16" s="83">
        <f>IF('Aglis Market Share'!Q16*'Total Tonnage'!Q16&gt;$A$1,$A$1,'Aglis Market Share'!Q16*'Total Tonnage'!Q16)</f>
        <v>3.0104172261925464</v>
      </c>
      <c r="R16" s="83">
        <f>IF('Aglis Market Share'!R16*'Total Tonnage'!R16&gt;$A$1,$A$1,'Aglis Market Share'!R16*'Total Tonnage'!R16)</f>
        <v>3.0540014756707361</v>
      </c>
      <c r="S16" s="83">
        <f>IF('Aglis Market Share'!S16*'Total Tonnage'!S16&gt;$A$1,$A$1,'Aglis Market Share'!S16*'Total Tonnage'!S16)</f>
        <v>3.2577660367718053</v>
      </c>
      <c r="T16" s="83">
        <f>IF('Aglis Market Share'!T16*'Total Tonnage'!T16&gt;$A$1,$A$1,'Aglis Market Share'!T16*'Total Tonnage'!T16)</f>
        <v>3.3037358793659397</v>
      </c>
      <c r="U16" s="83">
        <f>IF('Aglis Market Share'!U16*'Total Tonnage'!U16&gt;$A$1,$A$1,'Aglis Market Share'!U16*'Total Tonnage'!U16)</f>
        <v>3.3497057219600741</v>
      </c>
      <c r="V16" s="83">
        <f>IF('Aglis Market Share'!V16*'Total Tonnage'!V16&gt;$A$1,$A$1,'Aglis Market Share'!V16*'Total Tonnage'!V16)</f>
        <v>3.3956755645542085</v>
      </c>
      <c r="W16" s="83">
        <f>IF('Aglis Market Share'!W16*'Total Tonnage'!W16&gt;$A$1,$A$1,'Aglis Market Share'!W16*'Total Tonnage'!W16)</f>
        <v>3.408816099607479</v>
      </c>
      <c r="X16" s="83">
        <f>IF('Aglis Market Share'!X16*'Total Tonnage'!X16&gt;$A$1,$A$1,'Aglis Market Share'!X16*'Total Tonnage'!X16)</f>
        <v>3.4167053325389389</v>
      </c>
      <c r="Y16" s="83">
        <f>IF('Aglis Market Share'!Y16*'Total Tonnage'!Y16&gt;$A$1,$A$1,'Aglis Market Share'!Y16*'Total Tonnage'!Y16)</f>
        <v>3.4246103439362607</v>
      </c>
      <c r="Z16" s="83">
        <f>IF('Aglis Market Share'!Z16*'Total Tonnage'!Z16&gt;$A$1,$A$1,'Aglis Market Share'!Z16*'Total Tonnage'!Z16)</f>
        <v>3.4325311653563775</v>
      </c>
      <c r="AA16" s="83">
        <f>IF('Aglis Market Share'!AA16*'Total Tonnage'!AA16&gt;$A$1,$A$1,'Aglis Market Share'!AA16*'Total Tonnage'!AA16)</f>
        <v>3.4537421822006134</v>
      </c>
      <c r="AB16" s="83">
        <f>IF('Aglis Market Share'!AB16*'Total Tonnage'!AB16&gt;$A$1,$A$1,'Aglis Market Share'!AB16*'Total Tonnage'!AB16)</f>
        <v>3.4697003523939056</v>
      </c>
      <c r="AC16" s="83">
        <f>IF('Aglis Market Share'!AC16*'Total Tonnage'!AC16&gt;$A$1,$A$1,'Aglis Market Share'!AC16*'Total Tonnage'!AC16)</f>
        <v>3.4857223552679706</v>
      </c>
      <c r="AD16" s="83">
        <f>IF('Aglis Market Share'!AD16*'Total Tonnage'!AD16&gt;$A$1,$A$1,'Aglis Market Share'!AD16*'Total Tonnage'!AD16)</f>
        <v>3.501808446153531</v>
      </c>
      <c r="AE16" s="83">
        <f>IF('Aglis Market Share'!AE16*'Total Tonnage'!AE16&gt;$A$1,$A$1,'Aglis Market Share'!AE16*'Total Tonnage'!AE16)</f>
        <v>3.5314757911336074</v>
      </c>
      <c r="AF16" s="83">
        <f>IF('Aglis Market Share'!AF16*'Total Tonnage'!AF16&gt;$A$1,$A$1,'Aglis Market Share'!AF16*'Total Tonnage'!AF16)</f>
        <v>3.5558794480771416</v>
      </c>
      <c r="AG16" s="83">
        <f>IF('Aglis Market Share'!AG16*'Total Tonnage'!AG16&gt;$A$1,$A$1,'Aglis Market Share'!AG16*'Total Tonnage'!AG16)</f>
        <v>3.5804295269623396</v>
      </c>
      <c r="AH16" s="83">
        <f>IF('Aglis Market Share'!AH16*'Total Tonnage'!AH16&gt;$A$1,$A$1,'Aglis Market Share'!AH16*'Total Tonnage'!AH16)</f>
        <v>3.6051269063208471</v>
      </c>
      <c r="AI16" s="83">
        <f>IF('Aglis Market Share'!AI16*'Total Tonnage'!AI16&gt;$A$1,$A$1,'Aglis Market Share'!AI16*'Total Tonnage'!AI16)</f>
        <v>3.6413584745368901</v>
      </c>
      <c r="AJ16" s="83">
        <f>IF('Aglis Market Share'!AJ16*'Total Tonnage'!AJ16&gt;$A$1,$A$1,'Aglis Market Share'!AJ16*'Total Tonnage'!AJ16)</f>
        <v>3.6722694499577671</v>
      </c>
      <c r="AK16" s="83">
        <f>IF('Aglis Market Share'!AK16*'Total Tonnage'!AK16&gt;$A$1,$A$1,'Aglis Market Share'!AK16*'Total Tonnage'!AK16)</f>
        <v>3.7034091665967588</v>
      </c>
      <c r="AL16" s="83">
        <f>IF('Aglis Market Share'!AL16*'Total Tonnage'!AL16&gt;$A$1,$A$1,'Aglis Market Share'!AL16*'Total Tonnage'!AL16)</f>
        <v>3.7317112927109255</v>
      </c>
      <c r="AM16" s="83">
        <f>IF('Aglis Market Share'!AM16*'Total Tonnage'!AM16&gt;$A$1,$A$1,'Aglis Market Share'!AM16*'Total Tonnage'!AM16)</f>
        <v>3.7720579622752899</v>
      </c>
      <c r="AN16" s="83">
        <f>IF('Aglis Market Share'!AN16*'Total Tonnage'!AN16&gt;$A$1,$A$1,'Aglis Market Share'!AN16*'Total Tonnage'!AN16)</f>
        <v>3.7720579622752899</v>
      </c>
      <c r="AO16" s="83">
        <f>IF('Aglis Market Share'!AO16*'Total Tonnage'!AO16&gt;$A$1,$A$1,'Aglis Market Share'!AO16*'Total Tonnage'!AO16)</f>
        <v>3.7720579622752899</v>
      </c>
      <c r="AP16" s="83">
        <f>IF('Aglis Market Share'!AP16*'Total Tonnage'!AP16&gt;$A$1,$A$1,'Aglis Market Share'!AP16*'Total Tonnage'!AP16)</f>
        <v>3.7720579622752899</v>
      </c>
      <c r="AQ16" s="15"/>
      <c r="AR16" s="15"/>
      <c r="AS16" s="15"/>
      <c r="AT16" s="15"/>
      <c r="BH16" s="57">
        <f>V16/'Total Tonnage'!V16</f>
        <v>0.11162507627547276</v>
      </c>
      <c r="BI16" s="17">
        <f t="shared" si="7"/>
        <v>0.12576576165015588</v>
      </c>
      <c r="BK16" s="33">
        <v>13</v>
      </c>
      <c r="BL16" s="34" t="s">
        <v>74</v>
      </c>
      <c r="BM16" s="35">
        <v>1606.12132</v>
      </c>
    </row>
    <row r="17" spans="1:65" ht="15" thickBot="1">
      <c r="A17" s="107">
        <v>4</v>
      </c>
      <c r="B17" s="53" t="s">
        <v>29</v>
      </c>
      <c r="C17" s="105">
        <v>0</v>
      </c>
      <c r="D17" s="105">
        <v>0</v>
      </c>
      <c r="E17" s="105">
        <v>0</v>
      </c>
      <c r="F17" s="105">
        <v>0</v>
      </c>
      <c r="G17" s="105">
        <v>0</v>
      </c>
      <c r="H17" s="105">
        <v>0</v>
      </c>
      <c r="I17" s="105">
        <v>0</v>
      </c>
      <c r="J17" s="105">
        <v>0</v>
      </c>
      <c r="K17" s="105">
        <v>0</v>
      </c>
      <c r="L17" s="105">
        <v>0</v>
      </c>
      <c r="M17" s="105">
        <v>0</v>
      </c>
      <c r="N17" s="105">
        <v>0</v>
      </c>
      <c r="O17" s="83">
        <f>IF('Aglis Market Share'!O17*'Total Tonnage'!O17&gt;$A$1,$A$1,'Aglis Market Share'!O17*'Total Tonnage'!O17)</f>
        <v>14.969999999999997</v>
      </c>
      <c r="P17" s="83">
        <f>IF('Aglis Market Share'!P17*'Total Tonnage'!P17&gt;$A$1,$A$1,'Aglis Market Share'!P17*'Total Tonnage'!P17)</f>
        <v>15.156995811135893</v>
      </c>
      <c r="Q17" s="83">
        <f>IF('Aglis Market Share'!Q17*'Total Tonnage'!Q17&gt;$A$1,$A$1,'Aglis Market Share'!Q17*'Total Tonnage'!Q17)</f>
        <v>15.341275395465809</v>
      </c>
      <c r="R17" s="83">
        <f>IF('Aglis Market Share'!R17*'Total Tonnage'!R17&gt;$A$1,$A$1,'Aglis Market Share'!R17*'Total Tonnage'!R17)</f>
        <v>15.525554979795732</v>
      </c>
      <c r="S17" s="83">
        <f>IF('Aglis Market Share'!S17*'Total Tonnage'!S17&gt;$A$1,$A$1,'Aglis Market Share'!S17*'Total Tonnage'!S17)</f>
        <v>16.073607404854318</v>
      </c>
      <c r="T17" s="83">
        <f>IF('Aglis Market Share'!T17*'Total Tonnage'!T17&gt;$A$1,$A$1,'Aglis Market Share'!T17*'Total Tonnage'!T17)</f>
        <v>16.196738025093271</v>
      </c>
      <c r="U17" s="83">
        <f>IF('Aglis Market Share'!U17*'Total Tonnage'!U17&gt;$A$1,$A$1,'Aglis Market Share'!U17*'Total Tonnage'!U17)</f>
        <v>16.319868645332228</v>
      </c>
      <c r="V17" s="83">
        <f>IF('Aglis Market Share'!V17*'Total Tonnage'!V17&gt;$A$1,$A$1,'Aglis Market Share'!V17*'Total Tonnage'!V17)</f>
        <v>16.442999265571181</v>
      </c>
      <c r="W17" s="83">
        <f>IF('Aglis Market Share'!W17*'Total Tonnage'!W17&gt;$A$1,$A$1,'Aglis Market Share'!W17*'Total Tonnage'!W17)</f>
        <v>16.680227320734279</v>
      </c>
      <c r="X17" s="83">
        <f>IF('Aglis Market Share'!X17*'Total Tonnage'!X17&gt;$A$1,$A$1,'Aglis Market Share'!X17*'Total Tonnage'!X17)</f>
        <v>16.849785392357386</v>
      </c>
      <c r="Y17" s="83">
        <f>IF('Aglis Market Share'!Y17*'Total Tonnage'!Y17&gt;$A$1,$A$1,'Aglis Market Share'!Y17*'Total Tonnage'!Y17)</f>
        <v>17.434996496867075</v>
      </c>
      <c r="Z17" s="83">
        <f>IF('Aglis Market Share'!Z17*'Total Tonnage'!Z17&gt;$A$1,$A$1,'Aglis Market Share'!Z17*'Total Tonnage'!Z17)</f>
        <v>17.482219762740453</v>
      </c>
      <c r="AA17" s="83">
        <f>IF('Aglis Market Share'!AA17*'Total Tonnage'!AA17&gt;$A$1,$A$1,'Aglis Market Share'!AA17*'Total Tonnage'!AA17)</f>
        <v>17.622316415545665</v>
      </c>
      <c r="AB17" s="83">
        <f>IF('Aglis Market Share'!AB17*'Total Tonnage'!AB17&gt;$A$1,$A$1,'Aglis Market Share'!AB17*'Total Tonnage'!AB17)</f>
        <v>17.703819305095042</v>
      </c>
      <c r="AC17" s="83">
        <f>IF('Aglis Market Share'!AC17*'Total Tonnage'!AC17&gt;$A$1,$A$1,'Aglis Market Share'!AC17*'Total Tonnage'!AC17)</f>
        <v>17.799341128074705</v>
      </c>
      <c r="AD17" s="83">
        <f>IF('Aglis Market Share'!AD17*'Total Tonnage'!AD17&gt;$A$1,$A$1,'Aglis Market Share'!AD17*'Total Tonnage'!AD17)</f>
        <v>17.89524503834631</v>
      </c>
      <c r="AE17" s="83">
        <f>IF('Aglis Market Share'!AE17*'Total Tonnage'!AE17&gt;$A$1,$A$1,'Aglis Market Share'!AE17*'Total Tonnage'!AE17)</f>
        <v>18.09993541285602</v>
      </c>
      <c r="AF17" s="83">
        <f>IF('Aglis Market Share'!AF17*'Total Tonnage'!AF17&gt;$A$1,$A$1,'Aglis Market Share'!AF17*'Total Tonnage'!AF17)</f>
        <v>18.217611768316168</v>
      </c>
      <c r="AG17" s="83">
        <f>IF('Aglis Market Share'!AG17*'Total Tonnage'!AG17&gt;$A$1,$A$1,'Aglis Market Share'!AG17*'Total Tonnage'!AG17)</f>
        <v>18.363977257564986</v>
      </c>
      <c r="AH17" s="83">
        <f>IF('Aglis Market Share'!AH17*'Total Tonnage'!AH17&gt;$A$1,$A$1,'Aglis Market Share'!AH17*'Total Tonnage'!AH17)</f>
        <v>18.5112209397493</v>
      </c>
      <c r="AI17" s="83">
        <f>IF('Aglis Market Share'!AI17*'Total Tonnage'!AI17&gt;$A$1,$A$1,'Aglis Market Share'!AI17*'Total Tonnage'!AI17)</f>
        <v>18.741319051565682</v>
      </c>
      <c r="AJ17" s="83">
        <f>IF('Aglis Market Share'!AJ17*'Total Tonnage'!AJ17&gt;$A$1,$A$1,'Aglis Market Share'!AJ17*'Total Tonnage'!AJ17)</f>
        <v>18.858372038829163</v>
      </c>
      <c r="AK17" s="83">
        <f>IF('Aglis Market Share'!AK17*'Total Tonnage'!AK17&gt;$A$1,$A$1,'Aglis Market Share'!AK17*'Total Tonnage'!AK17)</f>
        <v>18.997923991916497</v>
      </c>
      <c r="AL17" s="83">
        <f>IF('Aglis Market Share'!AL17*'Total Tonnage'!AL17&gt;$A$1,$A$1,'Aglis Market Share'!AL17*'Total Tonnage'!AL17)</f>
        <v>18.997923991916497</v>
      </c>
      <c r="AM17" s="83">
        <f>IF('Aglis Market Share'!AM17*'Total Tonnage'!AM17&gt;$A$1,$A$1,'Aglis Market Share'!AM17*'Total Tonnage'!AM17)</f>
        <v>18.997923991916497</v>
      </c>
      <c r="AN17" s="83">
        <f>IF('Aglis Market Share'!AN17*'Total Tonnage'!AN17&gt;$A$1,$A$1,'Aglis Market Share'!AN17*'Total Tonnage'!AN17)</f>
        <v>18.997923991916497</v>
      </c>
      <c r="AO17" s="83">
        <f>IF('Aglis Market Share'!AO17*'Total Tonnage'!AO17&gt;$A$1,$A$1,'Aglis Market Share'!AO17*'Total Tonnage'!AO17)</f>
        <v>18.997923991916497</v>
      </c>
      <c r="AP17" s="83">
        <f>IF('Aglis Market Share'!AP17*'Total Tonnage'!AP17&gt;$A$1,$A$1,'Aglis Market Share'!AP17*'Total Tonnage'!AP17)</f>
        <v>18.964581455785865</v>
      </c>
      <c r="AQ17" s="15"/>
      <c r="AR17" s="15"/>
      <c r="AS17" s="15"/>
      <c r="AT17" s="15"/>
      <c r="BH17" s="57">
        <f>V17/'Total Tonnage'!V17</f>
        <v>0.32049865549922862</v>
      </c>
      <c r="BI17" s="17">
        <f t="shared" si="7"/>
        <v>0.6089999727989327</v>
      </c>
      <c r="BK17" s="33">
        <v>14</v>
      </c>
      <c r="BL17" s="34" t="s">
        <v>21</v>
      </c>
      <c r="BM17" s="35">
        <v>1511.1702600000001</v>
      </c>
    </row>
    <row r="18" spans="1:65" ht="15" thickBot="1">
      <c r="A18" s="108"/>
      <c r="B18" s="51" t="s">
        <v>30</v>
      </c>
      <c r="C18" s="105">
        <v>0</v>
      </c>
      <c r="D18" s="105">
        <v>0</v>
      </c>
      <c r="E18" s="105">
        <v>0</v>
      </c>
      <c r="F18" s="105">
        <v>0</v>
      </c>
      <c r="G18" s="105">
        <v>0</v>
      </c>
      <c r="H18" s="105">
        <v>0</v>
      </c>
      <c r="I18" s="105">
        <v>0</v>
      </c>
      <c r="J18" s="105">
        <v>0</v>
      </c>
      <c r="K18" s="105">
        <v>0</v>
      </c>
      <c r="L18" s="105">
        <v>0</v>
      </c>
      <c r="M18" s="105">
        <v>0</v>
      </c>
      <c r="N18" s="105">
        <v>0</v>
      </c>
      <c r="O18" s="83">
        <f>IF('Aglis Market Share'!O18*'Total Tonnage'!O18&gt;$A$1,$A$1,'Aglis Market Share'!O18*'Total Tonnage'!O18)</f>
        <v>6.4789758503046659</v>
      </c>
      <c r="P18" s="83">
        <f>IF('Aglis Market Share'!P18*'Total Tonnage'!P18&gt;$A$1,$A$1,'Aglis Market Share'!P18*'Total Tonnage'!P18)</f>
        <v>6.5615998097633765</v>
      </c>
      <c r="Q18" s="83">
        <f>IF('Aglis Market Share'!Q18*'Total Tonnage'!Q18&gt;$A$1,$A$1,'Aglis Market Share'!Q18*'Total Tonnage'!Q18)</f>
        <v>6.6479366493655245</v>
      </c>
      <c r="R18" s="83">
        <f>IF('Aglis Market Share'!R18*'Total Tonnage'!R18&gt;$A$1,$A$1,'Aglis Market Share'!R18*'Total Tonnage'!R18)</f>
        <v>6.7342734889676752</v>
      </c>
      <c r="S18" s="83">
        <f>IF('Aglis Market Share'!S18*'Total Tonnage'!S18&gt;$A$1,$A$1,'Aglis Market Share'!S18*'Total Tonnage'!S18)</f>
        <v>6.9932709552257197</v>
      </c>
      <c r="T18" s="83">
        <f>IF('Aglis Market Share'!T18*'Total Tonnage'!T18&gt;$A$1,$A$1,'Aglis Market Share'!T18*'Total Tonnage'!T18)</f>
        <v>7.0992894411026919</v>
      </c>
      <c r="U18" s="83">
        <f>IF('Aglis Market Share'!U18*'Total Tonnage'!U18&gt;$A$1,$A$1,'Aglis Market Share'!U18*'Total Tonnage'!U18)</f>
        <v>7.2053079269796649</v>
      </c>
      <c r="V18" s="83">
        <f>IF('Aglis Market Share'!V18*'Total Tonnage'!V18&gt;$A$1,$A$1,'Aglis Market Share'!V18*'Total Tonnage'!V18)</f>
        <v>7.3113264128566371</v>
      </c>
      <c r="W18" s="83">
        <f>IF('Aglis Market Share'!W18*'Total Tonnage'!W18&gt;$A$1,$A$1,'Aglis Market Share'!W18*'Total Tonnage'!W18)</f>
        <v>7.5062434836430167</v>
      </c>
      <c r="X18" s="83">
        <f>IF('Aglis Market Share'!X18*'Total Tonnage'!X18&gt;$A$1,$A$1,'Aglis Market Share'!X18*'Total Tonnage'!X18)</f>
        <v>7.5232383504569702</v>
      </c>
      <c r="Y18" s="83">
        <f>IF('Aglis Market Share'!Y18*'Total Tonnage'!Y18&gt;$A$1,$A$1,'Aglis Market Share'!Y18*'Total Tonnage'!Y18)</f>
        <v>7.5402672070048391</v>
      </c>
      <c r="Z18" s="83">
        <f>IF('Aglis Market Share'!Z18*'Total Tonnage'!Z18&gt;$A$1,$A$1,'Aglis Market Share'!Z18*'Total Tonnage'!Z18)</f>
        <v>7.5573301212656707</v>
      </c>
      <c r="AA18" s="83">
        <f>IF('Aglis Market Share'!AA18*'Total Tonnage'!AA18&gt;$A$1,$A$1,'Aglis Market Share'!AA18*'Total Tonnage'!AA18)</f>
        <v>7.6079504485732716</v>
      </c>
      <c r="AB18" s="83">
        <f>IF('Aglis Market Share'!AB18*'Total Tonnage'!AB18&gt;$A$1,$A$1,'Aglis Market Share'!AB18*'Total Tonnage'!AB18)</f>
        <v>7.6373994244259773</v>
      </c>
      <c r="AC18" s="83">
        <f>IF('Aglis Market Share'!AC18*'Total Tonnage'!AC18&gt;$A$1,$A$1,'Aglis Market Share'!AC18*'Total Tonnage'!AC18)</f>
        <v>7.6719137818173042</v>
      </c>
      <c r="AD18" s="83">
        <f>IF('Aglis Market Share'!AD18*'Total Tonnage'!AD18&gt;$A$1,$A$1,'Aglis Market Share'!AD18*'Total Tonnage'!AD18)</f>
        <v>7.7065661966382084</v>
      </c>
      <c r="AE18" s="83">
        <f>IF('Aglis Market Share'!AE18*'Total Tonnage'!AE18&gt;$A$1,$A$1,'Aglis Market Share'!AE18*'Total Tonnage'!AE18)</f>
        <v>7.7805258062857243</v>
      </c>
      <c r="AF18" s="83">
        <f>IF('Aglis Market Share'!AF18*'Total Tonnage'!AF18&gt;$A$1,$A$1,'Aglis Market Share'!AF18*'Total Tonnage'!AF18)</f>
        <v>7.8230451349811796</v>
      </c>
      <c r="AG18" s="83">
        <f>IF('Aglis Market Share'!AG18*'Total Tonnage'!AG18&gt;$A$1,$A$1,'Aglis Market Share'!AG18*'Total Tonnage'!AG18)</f>
        <v>7.8759305453315127</v>
      </c>
      <c r="AH18" s="83">
        <f>IF('Aglis Market Share'!AH18*'Total Tonnage'!AH18&gt;$A$1,$A$1,'Aglis Market Share'!AH18*'Total Tonnage'!AH18)</f>
        <v>7.929133268143949</v>
      </c>
      <c r="AI18" s="83">
        <f>IF('Aglis Market Share'!AI18*'Total Tonnage'!AI18&gt;$A$1,$A$1,'Aglis Market Share'!AI18*'Total Tonnage'!AI18)</f>
        <v>8.0180528205702686</v>
      </c>
      <c r="AJ18" s="83">
        <f>IF('Aglis Market Share'!AJ18*'Total Tonnage'!AJ18&gt;$A$1,$A$1,'Aglis Market Share'!AJ18*'Total Tonnage'!AJ18)</f>
        <v>8.0681313146240736</v>
      </c>
      <c r="AK18" s="83">
        <f>IF('Aglis Market Share'!AK18*'Total Tonnage'!AK18&gt;$A$1,$A$1,'Aglis Market Share'!AK18*'Total Tonnage'!AK18)</f>
        <v>8.1278354863522875</v>
      </c>
      <c r="AL18" s="83">
        <f>IF('Aglis Market Share'!AL18*'Total Tonnage'!AL18&gt;$A$1,$A$1,'Aglis Market Share'!AL18*'Total Tonnage'!AL18)</f>
        <v>8.1278354863522875</v>
      </c>
      <c r="AM18" s="83">
        <f>IF('Aglis Market Share'!AM18*'Total Tonnage'!AM18&gt;$A$1,$A$1,'Aglis Market Share'!AM18*'Total Tonnage'!AM18)</f>
        <v>8.1278354863522875</v>
      </c>
      <c r="AN18" s="83">
        <f>IF('Aglis Market Share'!AN18*'Total Tonnage'!AN18&gt;$A$1,$A$1,'Aglis Market Share'!AN18*'Total Tonnage'!AN18)</f>
        <v>8.1278354863522875</v>
      </c>
      <c r="AO18" s="83">
        <f>IF('Aglis Market Share'!AO18*'Total Tonnage'!AO18&gt;$A$1,$A$1,'Aglis Market Share'!AO18*'Total Tonnage'!AO18)</f>
        <v>8.1278354863522875</v>
      </c>
      <c r="AP18" s="83">
        <f>IF('Aglis Market Share'!AP18*'Total Tonnage'!AP18&gt;$A$1,$A$1,'Aglis Market Share'!AP18*'Total Tonnage'!AP18)</f>
        <v>8.1065787099771889</v>
      </c>
      <c r="AQ18" s="15"/>
      <c r="AR18" s="15"/>
      <c r="AS18" s="15"/>
      <c r="AT18" s="15"/>
      <c r="BH18" s="57">
        <f>V18/'Total Tonnage'!V18</f>
        <v>0.22068080229226369</v>
      </c>
      <c r="BI18" s="17">
        <f t="shared" si="7"/>
        <v>0.27078986714283843</v>
      </c>
      <c r="BK18" s="36">
        <v>15</v>
      </c>
      <c r="BL18" s="37" t="s">
        <v>75</v>
      </c>
      <c r="BM18" s="38">
        <v>1281.0346400000001</v>
      </c>
    </row>
    <row r="19" spans="1:65">
      <c r="A19" s="108"/>
      <c r="B19" s="52" t="s">
        <v>31</v>
      </c>
      <c r="C19" s="105">
        <v>0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0</v>
      </c>
      <c r="K19" s="105">
        <v>0</v>
      </c>
      <c r="L19" s="105">
        <v>0</v>
      </c>
      <c r="M19" s="105">
        <v>0</v>
      </c>
      <c r="N19" s="105">
        <v>0</v>
      </c>
      <c r="O19" s="83">
        <f>IF('Aglis Market Share'!O19*'Total Tonnage'!O19&gt;$A$1,$A$1,'Aglis Market Share'!O19*'Total Tonnage'!O19)</f>
        <v>2.7384963565692702</v>
      </c>
      <c r="P19" s="83">
        <f>IF('Aglis Market Share'!P19*'Total Tonnage'!P19&gt;$A$1,$A$1,'Aglis Market Share'!P19*'Total Tonnage'!P19)</f>
        <v>2.9193888188618504</v>
      </c>
      <c r="Q19" s="83">
        <f>IF('Aglis Market Share'!Q19*'Total Tonnage'!Q19&gt;$A$1,$A$1,'Aglis Market Share'!Q19*'Total Tonnage'!Q19)</f>
        <v>3.1018506200407154</v>
      </c>
      <c r="R19" s="83">
        <f>IF('Aglis Market Share'!R19*'Total Tonnage'!R19&gt;$A$1,$A$1,'Aglis Market Share'!R19*'Total Tonnage'!R19)</f>
        <v>3.2843124212195818</v>
      </c>
      <c r="S19" s="83">
        <f>IF('Aglis Market Share'!S19*'Total Tonnage'!S19&gt;$A$1,$A$1,'Aglis Market Share'!S19*'Total Tonnage'!S19)</f>
        <v>3.4586249379975658</v>
      </c>
      <c r="T19" s="83">
        <f>IF('Aglis Market Share'!T19*'Total Tonnage'!T19&gt;$A$1,$A$1,'Aglis Market Share'!T19*'Total Tonnage'!T19)</f>
        <v>3.5566972579270888</v>
      </c>
      <c r="U19" s="83">
        <f>IF('Aglis Market Share'!U19*'Total Tonnage'!U19&gt;$A$1,$A$1,'Aglis Market Share'!U19*'Total Tonnage'!U19)</f>
        <v>3.6547695778566118</v>
      </c>
      <c r="V19" s="83">
        <f>IF('Aglis Market Share'!V19*'Total Tonnage'!V19&gt;$A$1,$A$1,'Aglis Market Share'!V19*'Total Tonnage'!V19)</f>
        <v>3.7528418977861349</v>
      </c>
      <c r="W19" s="83">
        <f>IF('Aglis Market Share'!W19*'Total Tonnage'!W19&gt;$A$1,$A$1,'Aglis Market Share'!W19*'Total Tonnage'!W19)</f>
        <v>3.8735011174708567</v>
      </c>
      <c r="X19" s="83">
        <f>IF('Aglis Market Share'!X19*'Total Tonnage'!X19&gt;$A$1,$A$1,'Aglis Market Share'!X19*'Total Tonnage'!X19)</f>
        <v>3.9813331565263894</v>
      </c>
      <c r="Y19" s="83">
        <f>IF('Aglis Market Share'!Y19*'Total Tonnage'!Y19&gt;$A$1,$A$1,'Aglis Market Share'!Y19*'Total Tonnage'!Y19)</f>
        <v>4.0896402109439896</v>
      </c>
      <c r="Z19" s="83">
        <f>IF('Aglis Market Share'!Z19*'Total Tonnage'!Z19&gt;$A$1,$A$1,'Aglis Market Share'!Z19*'Total Tonnage'!Z19)</f>
        <v>4.1984236878569501</v>
      </c>
      <c r="AA19" s="83">
        <f>IF('Aglis Market Share'!AA19*'Total Tonnage'!AA19&gt;$A$1,$A$1,'Aglis Market Share'!AA19*'Total Tonnage'!AA19)</f>
        <v>4.3271516914909434</v>
      </c>
      <c r="AB19" s="83">
        <f>IF('Aglis Market Share'!AB19*'Total Tonnage'!AB19&gt;$A$1,$A$1,'Aglis Market Share'!AB19*'Total Tonnage'!AB19)</f>
        <v>4.3442524662172817</v>
      </c>
      <c r="AC19" s="83">
        <f>IF('Aglis Market Share'!AC19*'Total Tonnage'!AC19&gt;$A$1,$A$1,'Aglis Market Share'!AC19*'Total Tonnage'!AC19)</f>
        <v>4.3642946657669643</v>
      </c>
      <c r="AD19" s="83">
        <f>IF('Aglis Market Share'!AD19*'Total Tonnage'!AD19&gt;$A$1,$A$1,'Aglis Market Share'!AD19*'Total Tonnage'!AD19)</f>
        <v>4.3844170341148461</v>
      </c>
      <c r="AE19" s="83">
        <f>IF('Aglis Market Share'!AE19*'Total Tonnage'!AE19&gt;$A$1,$A$1,'Aglis Market Share'!AE19*'Total Tonnage'!AE19)</f>
        <v>4.4273647627474597</v>
      </c>
      <c r="AF19" s="83">
        <f>IF('Aglis Market Share'!AF19*'Total Tonnage'!AF19&gt;$A$1,$A$1,'Aglis Market Share'!AF19*'Total Tonnage'!AF19)</f>
        <v>4.4520553823864288</v>
      </c>
      <c r="AG19" s="83">
        <f>IF('Aglis Market Share'!AG19*'Total Tonnage'!AG19&gt;$A$1,$A$1,'Aglis Market Share'!AG19*'Total Tonnage'!AG19)</f>
        <v>4.4827654992079689</v>
      </c>
      <c r="AH19" s="83">
        <f>IF('Aglis Market Share'!AH19*'Total Tonnage'!AH19&gt;$A$1,$A$1,'Aglis Market Share'!AH19*'Total Tonnage'!AH19)</f>
        <v>4.5036684688374038</v>
      </c>
      <c r="AI19" s="83">
        <f>IF('Aglis Market Share'!AI19*'Total Tonnage'!AI19&gt;$A$1,$A$1,'Aglis Market Share'!AI19*'Total Tonnage'!AI19)</f>
        <v>4.5547673015951693</v>
      </c>
      <c r="AJ19" s="83">
        <f>IF('Aglis Market Share'!AJ19*'Total Tonnage'!AJ19&gt;$A$1,$A$1,'Aglis Market Share'!AJ19*'Total Tonnage'!AJ19)</f>
        <v>4.5832150921415415</v>
      </c>
      <c r="AK19" s="83">
        <f>IF('Aglis Market Share'!AK19*'Total Tonnage'!AK19&gt;$A$1,$A$1,'Aglis Market Share'!AK19*'Total Tonnage'!AK19)</f>
        <v>4.6171308838233909</v>
      </c>
      <c r="AL19" s="83">
        <f>IF('Aglis Market Share'!AL19*'Total Tonnage'!AL19&gt;$A$1,$A$1,'Aglis Market Share'!AL19*'Total Tonnage'!AL19)</f>
        <v>4.6171308838233909</v>
      </c>
      <c r="AM19" s="83">
        <f>IF('Aglis Market Share'!AM19*'Total Tonnage'!AM19&gt;$A$1,$A$1,'Aglis Market Share'!AM19*'Total Tonnage'!AM19)</f>
        <v>4.6171308838233909</v>
      </c>
      <c r="AN19" s="83">
        <f>IF('Aglis Market Share'!AN19*'Total Tonnage'!AN19&gt;$A$1,$A$1,'Aglis Market Share'!AN19*'Total Tonnage'!AN19)</f>
        <v>4.6110647763533912</v>
      </c>
      <c r="AO19" s="83">
        <f>IF('Aglis Market Share'!AO19*'Total Tonnage'!AO19&gt;$A$1,$A$1,'Aglis Market Share'!AO19*'Total Tonnage'!AO19)</f>
        <v>4.6110647763533912</v>
      </c>
      <c r="AP19" s="83">
        <f>IF('Aglis Market Share'!AP19*'Total Tonnage'!AP19&gt;$A$1,$A$1,'Aglis Market Share'!AP19*'Total Tonnage'!AP19)</f>
        <v>4.5930853891581318</v>
      </c>
      <c r="AQ19" s="15"/>
      <c r="AR19" s="15"/>
      <c r="AS19" s="15"/>
      <c r="AT19" s="15"/>
      <c r="BH19" s="57">
        <f>V19/'Total Tonnage'!V19</f>
        <v>0.13393123209169056</v>
      </c>
      <c r="BI19" s="17">
        <f t="shared" si="7"/>
        <v>0.13899414436244945</v>
      </c>
    </row>
    <row r="20" spans="1:65">
      <c r="A20" s="109"/>
      <c r="B20" s="52" t="s">
        <v>32</v>
      </c>
      <c r="C20" s="105">
        <v>0</v>
      </c>
      <c r="D20" s="105">
        <v>0</v>
      </c>
      <c r="E20" s="105">
        <v>0</v>
      </c>
      <c r="F20" s="105">
        <v>0</v>
      </c>
      <c r="G20" s="105">
        <v>0</v>
      </c>
      <c r="H20" s="105">
        <v>0</v>
      </c>
      <c r="I20" s="105">
        <v>0</v>
      </c>
      <c r="J20" s="105">
        <v>0</v>
      </c>
      <c r="K20" s="105">
        <v>0</v>
      </c>
      <c r="L20" s="105">
        <v>0</v>
      </c>
      <c r="M20" s="105">
        <v>0</v>
      </c>
      <c r="N20" s="105">
        <v>0</v>
      </c>
      <c r="O20" s="83">
        <f>IF('Aglis Market Share'!O20*'Total Tonnage'!O20&gt;$A$1,$A$1,'Aglis Market Share'!O20*'Total Tonnage'!O20)</f>
        <v>3.9609949552497592</v>
      </c>
      <c r="P20" s="83">
        <f>IF('Aglis Market Share'!P20*'Total Tonnage'!P20&gt;$A$1,$A$1,'Aglis Market Share'!P20*'Total Tonnage'!P20)</f>
        <v>4.2632423551852821</v>
      </c>
      <c r="Q20" s="83">
        <f>IF('Aglis Market Share'!Q20*'Total Tonnage'!Q20&gt;$A$1,$A$1,'Aglis Market Share'!Q20*'Total Tonnage'!Q20)</f>
        <v>4.5677596662699456</v>
      </c>
      <c r="R20" s="83">
        <f>IF('Aglis Market Share'!R20*'Total Tonnage'!R20&gt;$A$1,$A$1,'Aglis Market Share'!R20*'Total Tonnage'!R20)</f>
        <v>4.8722769773546091</v>
      </c>
      <c r="S20" s="83">
        <f>IF('Aglis Market Share'!S20*'Total Tonnage'!S20&gt;$A$1,$A$1,'Aglis Market Share'!S20*'Total Tonnage'!S20)</f>
        <v>5.1222625992903419</v>
      </c>
      <c r="T20" s="83">
        <f>IF('Aglis Market Share'!T20*'Total Tonnage'!T20&gt;$A$1,$A$1,'Aglis Market Share'!T20*'Total Tonnage'!T20)</f>
        <v>5.2639781191927586</v>
      </c>
      <c r="U20" s="83">
        <f>IF('Aglis Market Share'!U20*'Total Tonnage'!U20&gt;$A$1,$A$1,'Aglis Market Share'!U20*'Total Tonnage'!U20)</f>
        <v>5.4056936390951744</v>
      </c>
      <c r="V20" s="83">
        <f>IF('Aglis Market Share'!V20*'Total Tonnage'!V20&gt;$A$1,$A$1,'Aglis Market Share'!V20*'Total Tonnage'!V20)</f>
        <v>5.5474091589975911</v>
      </c>
      <c r="W20" s="83">
        <f>IF('Aglis Market Share'!W20*'Total Tonnage'!W20&gt;$A$1,$A$1,'Aglis Market Share'!W20*'Total Tonnage'!W20)</f>
        <v>5.7210986382645102</v>
      </c>
      <c r="X20" s="83">
        <f>IF('Aglis Market Share'!X20*'Total Tonnage'!X20&gt;$A$1,$A$1,'Aglis Market Share'!X20*'Total Tonnage'!X20)</f>
        <v>5.8766051037594549</v>
      </c>
      <c r="Y20" s="83">
        <f>IF('Aglis Market Share'!Y20*'Total Tonnage'!Y20&gt;$A$1,$A$1,'Aglis Market Share'!Y20*'Total Tonnage'!Y20)</f>
        <v>6.0327698378093322</v>
      </c>
      <c r="Z20" s="83">
        <f>IF('Aglis Market Share'!Z20*'Total Tonnage'!Z20&gt;$A$1,$A$1,'Aglis Market Share'!Z20*'Total Tonnage'!Z20)</f>
        <v>6.1895947898624852</v>
      </c>
      <c r="AA20" s="83">
        <f>IF('Aglis Market Share'!AA20*'Total Tonnage'!AA20&gt;$A$1,$A$1,'Aglis Market Share'!AA20*'Total Tonnage'!AA20)</f>
        <v>6.3745831583020669</v>
      </c>
      <c r="AB20" s="83">
        <f>IF('Aglis Market Share'!AB20*'Total Tonnage'!AB20&gt;$A$1,$A$1,'Aglis Market Share'!AB20*'Total Tonnage'!AB20)</f>
        <v>6.398741990293412</v>
      </c>
      <c r="AC20" s="83">
        <f>IF('Aglis Market Share'!AC20*'Total Tonnage'!AC20&gt;$A$1,$A$1,'Aglis Market Share'!AC20*'Total Tonnage'!AC20)</f>
        <v>6.4270562707518275</v>
      </c>
      <c r="AD20" s="83">
        <f>IF('Aglis Market Share'!AD20*'Total Tonnage'!AD20&gt;$A$1,$A$1,'Aglis Market Share'!AD20*'Total Tonnage'!AD20)</f>
        <v>6.4554838083320814</v>
      </c>
      <c r="AE20" s="83">
        <f>IF('Aglis Market Share'!AE20*'Total Tonnage'!AE20&gt;$A$1,$A$1,'Aglis Market Share'!AE20*'Total Tonnage'!AE20)</f>
        <v>6.5161574899078722</v>
      </c>
      <c r="AF20" s="83">
        <f>IF('Aglis Market Share'!AF20*'Total Tonnage'!AF20&gt;$A$1,$A$1,'Aglis Market Share'!AF20*'Total Tonnage'!AF20)</f>
        <v>6.5510387476968113</v>
      </c>
      <c r="AG20" s="83">
        <f>IF('Aglis Market Share'!AG20*'Total Tonnage'!AG20&gt;$A$1,$A$1,'Aglis Market Share'!AG20*'Total Tonnage'!AG20)</f>
        <v>6.5944239489288616</v>
      </c>
      <c r="AH20" s="83">
        <f>IF('Aglis Market Share'!AH20*'Total Tonnage'!AH20&gt;$A$1,$A$1,'Aglis Market Share'!AH20*'Total Tonnage'!AH20)</f>
        <v>6.7366099150829726</v>
      </c>
      <c r="AI20" s="83">
        <f>IF('Aglis Market Share'!AI20*'Total Tonnage'!AI20&gt;$A$1,$A$1,'Aglis Market Share'!AI20*'Total Tonnage'!AI20)</f>
        <v>6.866160219189438</v>
      </c>
      <c r="AJ20" s="83">
        <f>IF('Aglis Market Share'!AJ20*'Total Tonnage'!AJ20&gt;$A$1,$A$1,'Aglis Market Share'!AJ20*'Total Tonnage'!AJ20)</f>
        <v>6.9277833650579739</v>
      </c>
      <c r="AK20" s="83">
        <f>IF('Aglis Market Share'!AK20*'Total Tonnage'!AK20&gt;$A$1,$A$1,'Aglis Market Share'!AK20*'Total Tonnage'!AK20)</f>
        <v>6.9790489619594034</v>
      </c>
      <c r="AL20" s="83">
        <f>IF('Aglis Market Share'!AL20*'Total Tonnage'!AL20&gt;$A$1,$A$1,'Aglis Market Share'!AL20*'Total Tonnage'!AL20)</f>
        <v>6.9790489619594034</v>
      </c>
      <c r="AM20" s="83">
        <f>IF('Aglis Market Share'!AM20*'Total Tonnage'!AM20&gt;$A$1,$A$1,'Aglis Market Share'!AM20*'Total Tonnage'!AM20)</f>
        <v>6.9790489619594034</v>
      </c>
      <c r="AN20" s="83">
        <f>IF('Aglis Market Share'!AN20*'Total Tonnage'!AN20&gt;$A$1,$A$1,'Aglis Market Share'!AN20*'Total Tonnage'!AN20)</f>
        <v>6.9790489619594034</v>
      </c>
      <c r="AO20" s="83">
        <f>IF('Aglis Market Share'!AO20*'Total Tonnage'!AO20&gt;$A$1,$A$1,'Aglis Market Share'!AO20*'Total Tonnage'!AO20)</f>
        <v>6.9790489619594034</v>
      </c>
      <c r="AP20" s="83">
        <f>IF('Aglis Market Share'!AP20*'Total Tonnage'!AP20&gt;$A$1,$A$1,'Aglis Market Share'!AP20*'Total Tonnage'!AP20)</f>
        <v>6.9531062911060433</v>
      </c>
      <c r="AQ20" s="15"/>
      <c r="AR20" s="15"/>
      <c r="AS20" s="15"/>
      <c r="AT20" s="15"/>
      <c r="BH20" s="57">
        <f>V20/'Total Tonnage'!V20</f>
        <v>0.13700639188891342</v>
      </c>
      <c r="BI20" s="17">
        <f t="shared" si="7"/>
        <v>0.20545959848139225</v>
      </c>
    </row>
    <row r="21" spans="1:65">
      <c r="C21" s="83"/>
    </row>
    <row r="22" spans="1:65" ht="14.45" customHeight="1">
      <c r="C22" s="158" t="s">
        <v>76</v>
      </c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</row>
    <row r="23" spans="1:65">
      <c r="A23" s="107">
        <v>1</v>
      </c>
      <c r="B23" s="47" t="s">
        <v>15</v>
      </c>
      <c r="C23" s="15">
        <f t="shared" ref="C23:V23" si="8">C4*$BM$4</f>
        <v>7267.134</v>
      </c>
      <c r="D23" s="15">
        <f t="shared" si="8"/>
        <v>6793.3168631999979</v>
      </c>
      <c r="E23" s="15">
        <f t="shared" si="8"/>
        <v>7203.1832207999978</v>
      </c>
      <c r="F23" s="15">
        <f t="shared" si="8"/>
        <v>7624.6769927999994</v>
      </c>
      <c r="G23" s="15">
        <f t="shared" si="8"/>
        <v>8396.8256272392373</v>
      </c>
      <c r="H23" s="15">
        <f t="shared" si="8"/>
        <v>8633.2447558302756</v>
      </c>
      <c r="I23" s="15">
        <f t="shared" si="8"/>
        <v>8778.8612955875633</v>
      </c>
      <c r="J23" s="15">
        <f t="shared" si="8"/>
        <v>8969.8791297617299</v>
      </c>
      <c r="K23" s="15">
        <f t="shared" si="8"/>
        <v>9198.8835598799997</v>
      </c>
      <c r="L23" s="15">
        <f t="shared" si="8"/>
        <v>9304.7337268703996</v>
      </c>
      <c r="M23" s="15">
        <f t="shared" si="8"/>
        <v>9469.72094594595</v>
      </c>
      <c r="N23" s="15">
        <f t="shared" si="8"/>
        <v>9469.72094594595</v>
      </c>
      <c r="O23" s="15">
        <f t="shared" si="8"/>
        <v>9659.1153648648688</v>
      </c>
      <c r="P23" s="15">
        <f t="shared" si="8"/>
        <v>9659.1153648648688</v>
      </c>
      <c r="Q23" s="15">
        <f t="shared" si="8"/>
        <v>9659.1153648648688</v>
      </c>
      <c r="R23" s="15">
        <f t="shared" si="8"/>
        <v>9650.2085099904962</v>
      </c>
      <c r="S23" s="15">
        <f t="shared" si="8"/>
        <v>9848.4567998920593</v>
      </c>
      <c r="T23" s="15">
        <f t="shared" si="8"/>
        <v>9852.2976721621653</v>
      </c>
      <c r="U23" s="15">
        <f t="shared" si="8"/>
        <v>9852.2976721621653</v>
      </c>
      <c r="V23" s="15">
        <f t="shared" si="8"/>
        <v>9852.2976721621653</v>
      </c>
    </row>
    <row r="24" spans="1:65" ht="14.45" customHeight="1">
      <c r="A24" s="108"/>
      <c r="B24" s="47" t="s">
        <v>17</v>
      </c>
      <c r="C24" s="15">
        <f t="shared" ref="C24:V24" si="9">C5*$BM$4</f>
        <v>12282.48</v>
      </c>
      <c r="D24" s="15">
        <f t="shared" si="9"/>
        <v>12695.853687999999</v>
      </c>
      <c r="E24" s="15">
        <f t="shared" si="9"/>
        <v>13005.508656000002</v>
      </c>
      <c r="F24" s="15">
        <f t="shared" si="9"/>
        <v>13315.163623999999</v>
      </c>
      <c r="G24" s="15">
        <f t="shared" si="9"/>
        <v>14543.552430224736</v>
      </c>
      <c r="H24" s="15">
        <f t="shared" si="9"/>
        <v>14953.037412384871</v>
      </c>
      <c r="I24" s="15">
        <f t="shared" si="9"/>
        <v>15205.249602405576</v>
      </c>
      <c r="J24" s="15">
        <f t="shared" si="9"/>
        <v>15536.098188496</v>
      </c>
      <c r="K24" s="15">
        <f t="shared" si="9"/>
        <v>16234.189606829004</v>
      </c>
      <c r="L24" s="15">
        <f t="shared" si="9"/>
        <v>16373.840775566028</v>
      </c>
      <c r="M24" s="15">
        <f t="shared" si="9"/>
        <v>16513.491944303049</v>
      </c>
      <c r="N24" s="15">
        <f t="shared" si="9"/>
        <v>16653.143113040074</v>
      </c>
      <c r="O24" s="15">
        <f t="shared" si="9"/>
        <v>16653.143113040074</v>
      </c>
      <c r="P24" s="15">
        <f t="shared" si="9"/>
        <v>16653.143113040074</v>
      </c>
      <c r="Q24" s="15">
        <f t="shared" si="9"/>
        <v>16653.143113040074</v>
      </c>
      <c r="R24" s="15">
        <f t="shared" si="9"/>
        <v>16653.143113040074</v>
      </c>
      <c r="S24" s="15">
        <f t="shared" si="9"/>
        <v>16653.143113040074</v>
      </c>
      <c r="T24" s="15">
        <f t="shared" si="9"/>
        <v>16653.143113040074</v>
      </c>
      <c r="U24" s="15">
        <f t="shared" si="9"/>
        <v>16759.544003506377</v>
      </c>
      <c r="V24" s="15">
        <f t="shared" si="9"/>
        <v>16759.544003506377</v>
      </c>
    </row>
    <row r="25" spans="1:65" ht="14.45" customHeight="1">
      <c r="A25" s="108"/>
      <c r="B25" s="47" t="s">
        <v>14</v>
      </c>
      <c r="C25" s="15">
        <f t="shared" ref="C25:V25" si="10">C6*$BM$4</f>
        <v>16626.383759999997</v>
      </c>
      <c r="D25" s="15">
        <f t="shared" si="10"/>
        <v>17042.043353999998</v>
      </c>
      <c r="E25" s="15">
        <f t="shared" si="10"/>
        <v>17457.702947999998</v>
      </c>
      <c r="F25" s="15">
        <f t="shared" si="10"/>
        <v>17873.362541999999</v>
      </c>
      <c r="G25" s="15">
        <f t="shared" si="10"/>
        <v>19225.368245847745</v>
      </c>
      <c r="H25" s="15">
        <f t="shared" si="10"/>
        <v>19766.673378204014</v>
      </c>
      <c r="I25" s="15">
        <f t="shared" si="10"/>
        <v>20100.076943289161</v>
      </c>
      <c r="J25" s="15">
        <f t="shared" si="10"/>
        <v>20537.431292009878</v>
      </c>
      <c r="K25" s="15">
        <f t="shared" si="10"/>
        <v>22050.116067954237</v>
      </c>
      <c r="L25" s="15">
        <f t="shared" si="10"/>
        <v>22108.464</v>
      </c>
      <c r="M25" s="15">
        <f t="shared" si="10"/>
        <v>22108.464</v>
      </c>
      <c r="N25" s="15">
        <f t="shared" si="10"/>
        <v>22108.464</v>
      </c>
      <c r="O25" s="15">
        <f t="shared" si="10"/>
        <v>22108.464</v>
      </c>
      <c r="P25" s="15">
        <f t="shared" si="10"/>
        <v>22108.464</v>
      </c>
      <c r="Q25" s="15">
        <f t="shared" si="10"/>
        <v>22108.464</v>
      </c>
      <c r="R25" s="15">
        <f t="shared" si="10"/>
        <v>22108.464</v>
      </c>
      <c r="S25" s="15">
        <f t="shared" si="10"/>
        <v>22108.464</v>
      </c>
      <c r="T25" s="15">
        <f t="shared" si="10"/>
        <v>22108.464</v>
      </c>
      <c r="U25" s="15">
        <f t="shared" si="10"/>
        <v>22108.464</v>
      </c>
      <c r="V25" s="15">
        <f t="shared" si="10"/>
        <v>22108.464</v>
      </c>
    </row>
    <row r="26" spans="1:65" ht="14.45" customHeight="1">
      <c r="A26" s="108"/>
      <c r="B26" s="47" t="s">
        <v>16</v>
      </c>
      <c r="C26" s="15">
        <f t="shared" ref="C26:V26" si="11">C7*$BM$4</f>
        <v>9162.7300799999957</v>
      </c>
      <c r="D26" s="15">
        <f t="shared" si="11"/>
        <v>9315.4422479999957</v>
      </c>
      <c r="E26" s="15">
        <f t="shared" si="11"/>
        <v>9474.2629027199964</v>
      </c>
      <c r="F26" s="15">
        <f t="shared" si="11"/>
        <v>9608.6496105599945</v>
      </c>
      <c r="G26" s="15">
        <f t="shared" si="11"/>
        <v>10043.818204492796</v>
      </c>
      <c r="H26" s="15">
        <f t="shared" si="11"/>
        <v>10137.278051308798</v>
      </c>
      <c r="I26" s="15">
        <f t="shared" si="11"/>
        <v>10137.278051308798</v>
      </c>
      <c r="J26" s="15">
        <f t="shared" si="11"/>
        <v>10193.353959398397</v>
      </c>
      <c r="K26" s="15">
        <f t="shared" si="11"/>
        <v>10517.971160672638</v>
      </c>
      <c r="L26" s="15">
        <f t="shared" si="11"/>
        <v>10619.655474008447</v>
      </c>
      <c r="M26" s="15">
        <f t="shared" si="11"/>
        <v>10657.787091509374</v>
      </c>
      <c r="N26" s="15">
        <f t="shared" si="11"/>
        <v>10734.050326511227</v>
      </c>
      <c r="O26" s="15">
        <f t="shared" si="11"/>
        <v>11084.861207519767</v>
      </c>
      <c r="P26" s="15">
        <f t="shared" si="11"/>
        <v>11253.402956873868</v>
      </c>
      <c r="Q26" s="15">
        <f t="shared" si="11"/>
        <v>11454.356581103759</v>
      </c>
      <c r="R26" s="15">
        <f t="shared" si="11"/>
        <v>11733.098705035543</v>
      </c>
      <c r="S26" s="15">
        <f t="shared" si="11"/>
        <v>12119.837196053455</v>
      </c>
      <c r="T26" s="15">
        <f t="shared" si="11"/>
        <v>12450.438319786501</v>
      </c>
      <c r="U26" s="15">
        <f t="shared" si="11"/>
        <v>12781.039443519545</v>
      </c>
      <c r="V26" s="15">
        <f t="shared" si="11"/>
        <v>13111.640567252593</v>
      </c>
    </row>
    <row r="27" spans="1:65">
      <c r="A27" s="109"/>
      <c r="B27" s="47" t="s">
        <v>18</v>
      </c>
      <c r="C27" s="15">
        <f t="shared" ref="C27:V27" si="12">C8*$BM$4</f>
        <v>12325.468679999998</v>
      </c>
      <c r="D27" s="15">
        <f t="shared" si="12"/>
        <v>12325.468679999998</v>
      </c>
      <c r="E27" s="15">
        <f t="shared" si="12"/>
        <v>12325.468679999998</v>
      </c>
      <c r="F27" s="15">
        <f t="shared" si="12"/>
        <v>12325.468679999998</v>
      </c>
      <c r="G27" s="15">
        <f t="shared" si="12"/>
        <v>13073.350461625198</v>
      </c>
      <c r="H27" s="15">
        <f t="shared" si="12"/>
        <v>13586.730427258357</v>
      </c>
      <c r="I27" s="15">
        <f t="shared" si="12"/>
        <v>13902.934173637654</v>
      </c>
      <c r="J27" s="15">
        <f t="shared" si="12"/>
        <v>14317.726029643904</v>
      </c>
      <c r="K27" s="15">
        <f t="shared" si="12"/>
        <v>15501.328736070916</v>
      </c>
      <c r="L27" s="15">
        <f t="shared" si="12"/>
        <v>15937.548075997971</v>
      </c>
      <c r="M27" s="15">
        <f t="shared" si="12"/>
        <v>16373.767415925089</v>
      </c>
      <c r="N27" s="15">
        <f t="shared" si="12"/>
        <v>16809.986755852195</v>
      </c>
      <c r="O27" s="15">
        <f t="shared" si="12"/>
        <v>18145.145545930733</v>
      </c>
      <c r="P27" s="15">
        <f t="shared" si="12"/>
        <v>18603.897100677081</v>
      </c>
      <c r="Q27" s="15">
        <f t="shared" si="12"/>
        <v>19062.648655423483</v>
      </c>
      <c r="R27" s="15">
        <f t="shared" si="12"/>
        <v>19521.400210169835</v>
      </c>
      <c r="S27" s="15">
        <f t="shared" si="12"/>
        <v>21020.589485555116</v>
      </c>
      <c r="T27" s="15">
        <f t="shared" si="12"/>
        <v>21503.034875570695</v>
      </c>
      <c r="U27" s="15">
        <f t="shared" si="12"/>
        <v>21985.48026558628</v>
      </c>
      <c r="V27" s="15">
        <f t="shared" si="12"/>
        <v>22108.464</v>
      </c>
    </row>
    <row r="28" spans="1:65" ht="14.45" customHeight="1">
      <c r="A28" s="107">
        <v>2</v>
      </c>
      <c r="B28" s="48" t="s">
        <v>20</v>
      </c>
      <c r="C28" s="15" t="e">
        <f>#REF!*$BM$4</f>
        <v>#REF!</v>
      </c>
      <c r="D28" s="15" t="e">
        <f>#REF!*$BM$4</f>
        <v>#REF!</v>
      </c>
      <c r="E28" s="15" t="e">
        <f>#REF!*$BM$4</f>
        <v>#REF!</v>
      </c>
      <c r="F28" s="15" t="e">
        <f>#REF!*$BM$4</f>
        <v>#REF!</v>
      </c>
      <c r="G28" s="15">
        <f t="shared" ref="G28:V31" si="13">C9*$BM$4</f>
        <v>5204.7008999999998</v>
      </c>
      <c r="H28" s="15">
        <f t="shared" si="13"/>
        <v>5280.4056403636359</v>
      </c>
      <c r="I28" s="15">
        <f t="shared" si="13"/>
        <v>5356.110380727273</v>
      </c>
      <c r="J28" s="15">
        <f t="shared" si="13"/>
        <v>5431.8151210909091</v>
      </c>
      <c r="K28" s="15">
        <f t="shared" si="13"/>
        <v>5818.777581889577</v>
      </c>
      <c r="L28" s="15">
        <f t="shared" si="13"/>
        <v>5898.7607788914966</v>
      </c>
      <c r="M28" s="15">
        <f t="shared" si="13"/>
        <v>5978.7439758934133</v>
      </c>
      <c r="N28" s="15">
        <f t="shared" si="13"/>
        <v>6058.7271728953338</v>
      </c>
      <c r="O28" s="15">
        <f t="shared" si="13"/>
        <v>6484.8763246393219</v>
      </c>
      <c r="P28" s="15">
        <f t="shared" si="13"/>
        <v>6569.3698272404854</v>
      </c>
      <c r="Q28" s="15">
        <f t="shared" si="13"/>
        <v>6653.8633298416489</v>
      </c>
      <c r="R28" s="15">
        <f t="shared" si="13"/>
        <v>6738.3568324428134</v>
      </c>
      <c r="S28" s="15">
        <f t="shared" si="13"/>
        <v>7206.7713485937393</v>
      </c>
      <c r="T28" s="15">
        <f t="shared" si="13"/>
        <v>7296.0192909911839</v>
      </c>
      <c r="U28" s="15">
        <f t="shared" si="13"/>
        <v>7385.267233388633</v>
      </c>
      <c r="V28" s="15">
        <f t="shared" si="13"/>
        <v>7474.5151757860767</v>
      </c>
    </row>
    <row r="29" spans="1:65" ht="14.45" customHeight="1">
      <c r="A29" s="108"/>
      <c r="B29" s="48" t="s">
        <v>19</v>
      </c>
      <c r="C29" s="15" t="e">
        <f>#REF!*$BM$4</f>
        <v>#REF!</v>
      </c>
      <c r="D29" s="15" t="e">
        <f>#REF!*$BM$4</f>
        <v>#REF!</v>
      </c>
      <c r="E29" s="15" t="e">
        <f>#REF!*$BM$4</f>
        <v>#REF!</v>
      </c>
      <c r="F29" s="15" t="e">
        <f>#REF!*$BM$4</f>
        <v>#REF!</v>
      </c>
      <c r="G29" s="15">
        <f t="shared" si="13"/>
        <v>8469.7934999999979</v>
      </c>
      <c r="H29" s="15">
        <f t="shared" si="13"/>
        <v>8605.3101959999985</v>
      </c>
      <c r="I29" s="15">
        <f t="shared" si="13"/>
        <v>8740.826892000001</v>
      </c>
      <c r="J29" s="15">
        <f t="shared" si="13"/>
        <v>8876.3435879999961</v>
      </c>
      <c r="K29" s="15">
        <f t="shared" si="13"/>
        <v>9637.9042622569432</v>
      </c>
      <c r="L29" s="15">
        <f t="shared" si="13"/>
        <v>9782.8351534187004</v>
      </c>
      <c r="M29" s="15">
        <f t="shared" si="13"/>
        <v>9927.7660445804595</v>
      </c>
      <c r="N29" s="15">
        <f t="shared" si="13"/>
        <v>10072.696935742217</v>
      </c>
      <c r="O29" s="15">
        <f t="shared" si="13"/>
        <v>10920.760676257576</v>
      </c>
      <c r="P29" s="15">
        <f t="shared" si="13"/>
        <v>11075.665083013</v>
      </c>
      <c r="Q29" s="15">
        <f t="shared" si="13"/>
        <v>11230.56948976843</v>
      </c>
      <c r="R29" s="15">
        <f t="shared" si="13"/>
        <v>11385.473896523858</v>
      </c>
      <c r="S29" s="15">
        <f t="shared" si="13"/>
        <v>12327.389559651079</v>
      </c>
      <c r="T29" s="15">
        <f t="shared" si="13"/>
        <v>12492.857875888007</v>
      </c>
      <c r="U29" s="15">
        <f t="shared" si="13"/>
        <v>12658.326192124936</v>
      </c>
      <c r="V29" s="15">
        <f t="shared" si="13"/>
        <v>12823.79450836186</v>
      </c>
    </row>
    <row r="30" spans="1:65" ht="14.45" customHeight="1">
      <c r="A30" s="108"/>
      <c r="B30" s="48" t="s">
        <v>21</v>
      </c>
      <c r="C30" s="15" t="e">
        <f>#REF!*$BM$4</f>
        <v>#REF!</v>
      </c>
      <c r="D30" s="15" t="e">
        <f>#REF!*$BM$4</f>
        <v>#REF!</v>
      </c>
      <c r="E30" s="15" t="e">
        <f>#REF!*$BM$4</f>
        <v>#REF!</v>
      </c>
      <c r="F30" s="15" t="e">
        <f>#REF!*$BM$4</f>
        <v>#REF!</v>
      </c>
      <c r="G30" s="15">
        <f t="shared" si="13"/>
        <v>9129.9768000000004</v>
      </c>
      <c r="H30" s="15">
        <f t="shared" si="13"/>
        <v>9276.0564288000005</v>
      </c>
      <c r="I30" s="15">
        <f t="shared" si="13"/>
        <v>9422.1360576000006</v>
      </c>
      <c r="J30" s="15">
        <f t="shared" si="13"/>
        <v>9568.215686399999</v>
      </c>
      <c r="K30" s="15">
        <f t="shared" si="13"/>
        <v>10013.407025721499</v>
      </c>
      <c r="L30" s="15">
        <f t="shared" si="13"/>
        <v>10163.984574980468</v>
      </c>
      <c r="M30" s="15">
        <f t="shared" si="13"/>
        <v>10314.562124239439</v>
      </c>
      <c r="N30" s="15">
        <f t="shared" si="13"/>
        <v>10465.139673498408</v>
      </c>
      <c r="O30" s="15">
        <f t="shared" si="13"/>
        <v>10942.584507916305</v>
      </c>
      <c r="P30" s="15">
        <f t="shared" si="13"/>
        <v>11097.798472567601</v>
      </c>
      <c r="Q30" s="15">
        <f t="shared" si="13"/>
        <v>11253.012437218895</v>
      </c>
      <c r="R30" s="15">
        <f t="shared" si="13"/>
        <v>11408.22640187019</v>
      </c>
      <c r="S30" s="15">
        <f t="shared" si="13"/>
        <v>11919.488882169515</v>
      </c>
      <c r="T30" s="15">
        <f t="shared" si="13"/>
        <v>12079.482021527499</v>
      </c>
      <c r="U30" s="15">
        <f t="shared" si="13"/>
        <v>12239.475160885475</v>
      </c>
      <c r="V30" s="15">
        <f t="shared" si="13"/>
        <v>12399.468300243456</v>
      </c>
    </row>
    <row r="31" spans="1:65">
      <c r="A31" s="109"/>
      <c r="B31" s="49" t="s">
        <v>22</v>
      </c>
      <c r="C31" s="15" t="e">
        <f>#REF!*$BM$4</f>
        <v>#REF!</v>
      </c>
      <c r="D31" s="15" t="e">
        <f>#REF!*$BM$4</f>
        <v>#REF!</v>
      </c>
      <c r="E31" s="15" t="e">
        <f>#REF!*$BM$4</f>
        <v>#REF!</v>
      </c>
      <c r="F31" s="15" t="e">
        <f>#REF!*$BM$4</f>
        <v>#REF!</v>
      </c>
      <c r="G31" s="15">
        <f t="shared" si="13"/>
        <v>3316.2696000000001</v>
      </c>
      <c r="H31" s="15">
        <f t="shared" si="13"/>
        <v>3375.225504</v>
      </c>
      <c r="I31" s="15">
        <f t="shared" si="13"/>
        <v>3434.1814080000004</v>
      </c>
      <c r="J31" s="15">
        <f t="shared" si="13"/>
        <v>3493.1373120000007</v>
      </c>
      <c r="K31" s="15">
        <f t="shared" si="13"/>
        <v>3750.5157475660599</v>
      </c>
      <c r="L31" s="15">
        <f t="shared" si="13"/>
        <v>3812.7649715920534</v>
      </c>
      <c r="M31" s="15">
        <f t="shared" si="13"/>
        <v>3875.0141956180469</v>
      </c>
      <c r="N31" s="15">
        <f t="shared" si="13"/>
        <v>3937.2634196440372</v>
      </c>
      <c r="O31" s="15">
        <f t="shared" si="13"/>
        <v>4222.5053861931792</v>
      </c>
      <c r="P31" s="15">
        <f t="shared" si="13"/>
        <v>4288.2253143829575</v>
      </c>
      <c r="Q31" s="15">
        <f t="shared" si="13"/>
        <v>4353.9452425727332</v>
      </c>
      <c r="R31" s="15">
        <f t="shared" si="13"/>
        <v>4419.6651707625115</v>
      </c>
      <c r="S31" s="15">
        <f t="shared" si="13"/>
        <v>4735.0064704012921</v>
      </c>
      <c r="T31" s="15">
        <f t="shared" si="13"/>
        <v>4804.3838545829967</v>
      </c>
      <c r="U31" s="15">
        <f t="shared" si="13"/>
        <v>4873.7612387647005</v>
      </c>
      <c r="V31" s="15">
        <f t="shared" si="13"/>
        <v>4943.1386229464042</v>
      </c>
    </row>
    <row r="32" spans="1:65" ht="14.45" customHeight="1">
      <c r="A32" s="107">
        <v>3</v>
      </c>
      <c r="B32" s="50" t="s">
        <v>24</v>
      </c>
      <c r="C32" s="15">
        <f t="shared" ref="C32:V32" si="14">C13*$BM$4</f>
        <v>0</v>
      </c>
      <c r="D32" s="15">
        <f t="shared" si="14"/>
        <v>0</v>
      </c>
      <c r="E32" s="15">
        <f t="shared" si="14"/>
        <v>0</v>
      </c>
      <c r="F32" s="15">
        <f t="shared" si="14"/>
        <v>0</v>
      </c>
      <c r="G32" s="15">
        <f t="shared" si="14"/>
        <v>0</v>
      </c>
      <c r="H32" s="15">
        <f t="shared" si="14"/>
        <v>0</v>
      </c>
      <c r="I32" s="15">
        <f t="shared" si="14"/>
        <v>0</v>
      </c>
      <c r="J32" s="15">
        <f t="shared" si="14"/>
        <v>0</v>
      </c>
      <c r="K32" s="15">
        <f t="shared" si="14"/>
        <v>4613.6511962142322</v>
      </c>
      <c r="L32" s="15">
        <f t="shared" si="14"/>
        <v>4715.1515225309449</v>
      </c>
      <c r="M32" s="15">
        <f t="shared" si="14"/>
        <v>4816.6518488476577</v>
      </c>
      <c r="N32" s="15">
        <f t="shared" si="14"/>
        <v>4918.1521751643704</v>
      </c>
      <c r="O32" s="15">
        <f t="shared" si="14"/>
        <v>5136.0815573987056</v>
      </c>
      <c r="P32" s="15">
        <f t="shared" si="14"/>
        <v>5239.9361477137527</v>
      </c>
      <c r="Q32" s="15">
        <f t="shared" si="14"/>
        <v>5343.7907380288007</v>
      </c>
      <c r="R32" s="15">
        <f t="shared" si="14"/>
        <v>5447.6453283438477</v>
      </c>
      <c r="S32" s="15">
        <f t="shared" si="14"/>
        <v>5679.8629528080728</v>
      </c>
      <c r="T32" s="15">
        <f t="shared" si="14"/>
        <v>5786.1188924014214</v>
      </c>
      <c r="U32" s="15">
        <f t="shared" si="14"/>
        <v>5892.374831994769</v>
      </c>
      <c r="V32" s="15">
        <f t="shared" si="14"/>
        <v>5998.6307715881176</v>
      </c>
    </row>
    <row r="33" spans="1:22" ht="14.45" customHeight="1">
      <c r="A33" s="108"/>
      <c r="B33" s="50" t="s">
        <v>25</v>
      </c>
      <c r="C33" s="15">
        <f t="shared" ref="C33:V33" si="15">C14*$BM$4</f>
        <v>0</v>
      </c>
      <c r="D33" s="15">
        <f t="shared" si="15"/>
        <v>0</v>
      </c>
      <c r="E33" s="15">
        <f t="shared" si="15"/>
        <v>0</v>
      </c>
      <c r="F33" s="15">
        <f t="shared" si="15"/>
        <v>0</v>
      </c>
      <c r="G33" s="15">
        <f t="shared" si="15"/>
        <v>0</v>
      </c>
      <c r="H33" s="15">
        <f t="shared" si="15"/>
        <v>0</v>
      </c>
      <c r="I33" s="15">
        <f t="shared" si="15"/>
        <v>0</v>
      </c>
      <c r="J33" s="15">
        <f t="shared" si="15"/>
        <v>0</v>
      </c>
      <c r="K33" s="15">
        <f t="shared" si="15"/>
        <v>16696.067018265596</v>
      </c>
      <c r="L33" s="15">
        <f t="shared" si="15"/>
        <v>16920.145812458111</v>
      </c>
      <c r="M33" s="15">
        <f t="shared" si="15"/>
        <v>17144.22460665062</v>
      </c>
      <c r="N33" s="15">
        <f t="shared" si="15"/>
        <v>17368.303400843135</v>
      </c>
      <c r="O33" s="15">
        <f t="shared" si="15"/>
        <v>17592.382195035643</v>
      </c>
      <c r="P33" s="15">
        <f t="shared" si="15"/>
        <v>17816.460989228159</v>
      </c>
      <c r="Q33" s="15">
        <f t="shared" si="15"/>
        <v>18040.539783420667</v>
      </c>
      <c r="R33" s="15">
        <f t="shared" si="15"/>
        <v>18264.618577613179</v>
      </c>
      <c r="S33" s="15">
        <f t="shared" si="15"/>
        <v>18484.303669958779</v>
      </c>
      <c r="T33" s="15">
        <f t="shared" si="15"/>
        <v>18703.98876230438</v>
      </c>
      <c r="U33" s="15">
        <f t="shared" si="15"/>
        <v>18923.67385464998</v>
      </c>
      <c r="V33" s="15">
        <f t="shared" si="15"/>
        <v>19143.35894699558</v>
      </c>
    </row>
    <row r="34" spans="1:22">
      <c r="A34" s="108"/>
      <c r="B34" s="50" t="s">
        <v>26</v>
      </c>
      <c r="C34" s="15">
        <f t="shared" ref="C34:V34" si="16">C15*$BM$4</f>
        <v>0</v>
      </c>
      <c r="D34" s="15">
        <f t="shared" si="16"/>
        <v>0</v>
      </c>
      <c r="E34" s="15">
        <f t="shared" si="16"/>
        <v>0</v>
      </c>
      <c r="F34" s="15">
        <f t="shared" si="16"/>
        <v>0</v>
      </c>
      <c r="G34" s="15">
        <f t="shared" si="16"/>
        <v>0</v>
      </c>
      <c r="H34" s="15">
        <f t="shared" si="16"/>
        <v>0</v>
      </c>
      <c r="I34" s="15">
        <f t="shared" si="16"/>
        <v>0</v>
      </c>
      <c r="J34" s="15">
        <f t="shared" si="16"/>
        <v>0</v>
      </c>
      <c r="K34" s="15">
        <f t="shared" si="16"/>
        <v>16958.660263959133</v>
      </c>
      <c r="L34" s="15">
        <f t="shared" si="16"/>
        <v>17186.263335922795</v>
      </c>
      <c r="M34" s="15">
        <f t="shared" si="16"/>
        <v>17413.86640788646</v>
      </c>
      <c r="N34" s="15">
        <f t="shared" si="16"/>
        <v>17641.469479850119</v>
      </c>
      <c r="O34" s="15">
        <f t="shared" si="16"/>
        <v>18347.762325986052</v>
      </c>
      <c r="P34" s="15">
        <f t="shared" si="16"/>
        <v>18581.462595372992</v>
      </c>
      <c r="Q34" s="15">
        <f t="shared" si="16"/>
        <v>18815.162864759932</v>
      </c>
      <c r="R34" s="15">
        <f t="shared" si="16"/>
        <v>19048.863134146861</v>
      </c>
      <c r="S34" s="15">
        <f t="shared" si="16"/>
        <v>19790.999236504736</v>
      </c>
      <c r="T34" s="15">
        <f t="shared" si="16"/>
        <v>20026.21434509167</v>
      </c>
      <c r="U34" s="15">
        <f t="shared" si="16"/>
        <v>20261.4294536786</v>
      </c>
      <c r="V34" s="15">
        <f t="shared" si="16"/>
        <v>20496.644562265541</v>
      </c>
    </row>
    <row r="35" spans="1:22" ht="14.45" customHeight="1">
      <c r="A35" s="109"/>
      <c r="B35" s="50" t="s">
        <v>28</v>
      </c>
      <c r="C35" s="15">
        <f t="shared" ref="C35:V35" si="17">C16*$BM$4</f>
        <v>0</v>
      </c>
      <c r="D35" s="15">
        <f t="shared" si="17"/>
        <v>0</v>
      </c>
      <c r="E35" s="15">
        <f t="shared" si="17"/>
        <v>0</v>
      </c>
      <c r="F35" s="15">
        <f t="shared" si="17"/>
        <v>0</v>
      </c>
      <c r="G35" s="15">
        <f t="shared" si="17"/>
        <v>0</v>
      </c>
      <c r="H35" s="15">
        <f t="shared" si="17"/>
        <v>0</v>
      </c>
      <c r="I35" s="15">
        <f t="shared" si="17"/>
        <v>0</v>
      </c>
      <c r="J35" s="15">
        <f t="shared" si="17"/>
        <v>0</v>
      </c>
      <c r="K35" s="15">
        <f t="shared" si="17"/>
        <v>2676.2954606747417</v>
      </c>
      <c r="L35" s="15">
        <f t="shared" si="17"/>
        <v>2718.5875370903414</v>
      </c>
      <c r="M35" s="15">
        <f t="shared" si="17"/>
        <v>2760.879613505942</v>
      </c>
      <c r="N35" s="15">
        <f t="shared" si="17"/>
        <v>2803.1716899215426</v>
      </c>
      <c r="O35" s="15">
        <f t="shared" si="17"/>
        <v>2992.0620022753028</v>
      </c>
      <c r="P35" s="15">
        <f t="shared" si="17"/>
        <v>3036.6722249862105</v>
      </c>
      <c r="Q35" s="15">
        <f t="shared" si="17"/>
        <v>3081.2824476971186</v>
      </c>
      <c r="R35" s="15">
        <f t="shared" si="17"/>
        <v>3125.892670408025</v>
      </c>
      <c r="S35" s="15">
        <f t="shared" si="17"/>
        <v>3334.4538492774136</v>
      </c>
      <c r="T35" s="15">
        <f t="shared" si="17"/>
        <v>3381.5058219662137</v>
      </c>
      <c r="U35" s="15">
        <f t="shared" si="17"/>
        <v>3428.5577946550143</v>
      </c>
      <c r="V35" s="15">
        <f t="shared" si="17"/>
        <v>3475.6097673438144</v>
      </c>
    </row>
    <row r="36" spans="1:22" ht="14.45" customHeight="1">
      <c r="A36" s="107">
        <v>4</v>
      </c>
      <c r="B36" s="51" t="s">
        <v>30</v>
      </c>
      <c r="C36" s="15">
        <f t="shared" ref="C36:V36" si="18">C17*$BM$4</f>
        <v>0</v>
      </c>
      <c r="D36" s="15">
        <f t="shared" si="18"/>
        <v>0</v>
      </c>
      <c r="E36" s="15">
        <f t="shared" si="18"/>
        <v>0</v>
      </c>
      <c r="F36" s="15">
        <f t="shared" si="18"/>
        <v>0</v>
      </c>
      <c r="G36" s="15">
        <f t="shared" si="18"/>
        <v>0</v>
      </c>
      <c r="H36" s="15">
        <f t="shared" si="18"/>
        <v>0</v>
      </c>
      <c r="I36" s="15">
        <f t="shared" si="18"/>
        <v>0</v>
      </c>
      <c r="J36" s="15">
        <f t="shared" si="18"/>
        <v>0</v>
      </c>
      <c r="K36" s="15">
        <f t="shared" si="18"/>
        <v>0</v>
      </c>
      <c r="L36" s="15">
        <f t="shared" si="18"/>
        <v>0</v>
      </c>
      <c r="M36" s="15">
        <f t="shared" si="18"/>
        <v>0</v>
      </c>
      <c r="N36" s="15">
        <f t="shared" si="18"/>
        <v>0</v>
      </c>
      <c r="O36" s="15">
        <f t="shared" si="18"/>
        <v>15322.393799999996</v>
      </c>
      <c r="P36" s="15">
        <f t="shared" si="18"/>
        <v>15513.791492530032</v>
      </c>
      <c r="Q36" s="15">
        <f t="shared" si="18"/>
        <v>15702.409018275073</v>
      </c>
      <c r="R36" s="15">
        <f t="shared" si="18"/>
        <v>15891.026544020124</v>
      </c>
      <c r="S36" s="15">
        <f t="shared" si="18"/>
        <v>16451.980123164587</v>
      </c>
      <c r="T36" s="15">
        <f t="shared" si="18"/>
        <v>16578.009238203966</v>
      </c>
      <c r="U36" s="15">
        <f t="shared" si="18"/>
        <v>16704.038353243348</v>
      </c>
      <c r="V36" s="15">
        <f t="shared" si="18"/>
        <v>16830.067468282727</v>
      </c>
    </row>
    <row r="37" spans="1:22" ht="14.45" customHeight="1">
      <c r="A37" s="108"/>
      <c r="B37" s="52" t="s">
        <v>31</v>
      </c>
      <c r="C37" s="15">
        <f t="shared" ref="C37:V37" si="19">C18*$BM$4</f>
        <v>0</v>
      </c>
      <c r="D37" s="15">
        <f t="shared" si="19"/>
        <v>0</v>
      </c>
      <c r="E37" s="15">
        <f t="shared" si="19"/>
        <v>0</v>
      </c>
      <c r="F37" s="15">
        <f t="shared" si="19"/>
        <v>0</v>
      </c>
      <c r="G37" s="15">
        <f t="shared" si="19"/>
        <v>0</v>
      </c>
      <c r="H37" s="15">
        <f t="shared" si="19"/>
        <v>0</v>
      </c>
      <c r="I37" s="15">
        <f t="shared" si="19"/>
        <v>0</v>
      </c>
      <c r="J37" s="15">
        <f t="shared" si="19"/>
        <v>0</v>
      </c>
      <c r="K37" s="15">
        <f t="shared" si="19"/>
        <v>0</v>
      </c>
      <c r="L37" s="15">
        <f t="shared" si="19"/>
        <v>0</v>
      </c>
      <c r="M37" s="15">
        <f t="shared" si="19"/>
        <v>0</v>
      </c>
      <c r="N37" s="15">
        <f t="shared" si="19"/>
        <v>0</v>
      </c>
      <c r="O37" s="15">
        <f t="shared" si="19"/>
        <v>6631.4909418208372</v>
      </c>
      <c r="P37" s="15">
        <f t="shared" si="19"/>
        <v>6716.0598692852063</v>
      </c>
      <c r="Q37" s="15">
        <f t="shared" si="19"/>
        <v>6804.429078091589</v>
      </c>
      <c r="R37" s="15">
        <f t="shared" si="19"/>
        <v>6892.7982868979743</v>
      </c>
      <c r="S37" s="15">
        <f t="shared" si="19"/>
        <v>7157.8925535117332</v>
      </c>
      <c r="T37" s="15">
        <f t="shared" si="19"/>
        <v>7266.4067145462486</v>
      </c>
      <c r="U37" s="15">
        <f t="shared" si="19"/>
        <v>7374.9208755807658</v>
      </c>
      <c r="V37" s="15">
        <f t="shared" si="19"/>
        <v>7483.4350366152821</v>
      </c>
    </row>
    <row r="38" spans="1:22">
      <c r="A38" s="108"/>
      <c r="B38" s="52" t="s">
        <v>32</v>
      </c>
      <c r="C38" s="15">
        <f t="shared" ref="C38:V38" si="20">C19*$BM$4</f>
        <v>0</v>
      </c>
      <c r="D38" s="15">
        <f t="shared" si="20"/>
        <v>0</v>
      </c>
      <c r="E38" s="15">
        <f t="shared" si="20"/>
        <v>0</v>
      </c>
      <c r="F38" s="15">
        <f t="shared" si="20"/>
        <v>0</v>
      </c>
      <c r="G38" s="15">
        <f t="shared" si="20"/>
        <v>0</v>
      </c>
      <c r="H38" s="15">
        <f t="shared" si="20"/>
        <v>0</v>
      </c>
      <c r="I38" s="15">
        <f t="shared" si="20"/>
        <v>0</v>
      </c>
      <c r="J38" s="15">
        <f t="shared" si="20"/>
        <v>0</v>
      </c>
      <c r="K38" s="15">
        <f t="shared" si="20"/>
        <v>0</v>
      </c>
      <c r="L38" s="15">
        <f t="shared" si="20"/>
        <v>0</v>
      </c>
      <c r="M38" s="15">
        <f t="shared" si="20"/>
        <v>0</v>
      </c>
      <c r="N38" s="15">
        <f t="shared" si="20"/>
        <v>0</v>
      </c>
      <c r="O38" s="15">
        <f t="shared" si="20"/>
        <v>2802.9605608029105</v>
      </c>
      <c r="P38" s="15">
        <f t="shared" si="20"/>
        <v>2988.1112316578583</v>
      </c>
      <c r="Q38" s="15">
        <f t="shared" si="20"/>
        <v>3174.868183636474</v>
      </c>
      <c r="R38" s="15">
        <f t="shared" si="20"/>
        <v>3361.6251356150906</v>
      </c>
      <c r="S38" s="15">
        <f t="shared" si="20"/>
        <v>3540.0409690380284</v>
      </c>
      <c r="T38" s="15">
        <f t="shared" si="20"/>
        <v>3640.4219113786921</v>
      </c>
      <c r="U38" s="15">
        <f t="shared" si="20"/>
        <v>3740.8028537193563</v>
      </c>
      <c r="V38" s="15">
        <f t="shared" si="20"/>
        <v>3841.1837960600205</v>
      </c>
    </row>
    <row r="39" spans="1:22" ht="15" thickBot="1">
      <c r="A39" s="109"/>
      <c r="B39" s="53" t="s">
        <v>29</v>
      </c>
      <c r="C39" s="15">
        <f t="shared" ref="C39:V39" si="21">C20*$BM$4</f>
        <v>0</v>
      </c>
      <c r="D39" s="15">
        <f t="shared" si="21"/>
        <v>0</v>
      </c>
      <c r="E39" s="15">
        <f t="shared" si="21"/>
        <v>0</v>
      </c>
      <c r="F39" s="15">
        <f t="shared" si="21"/>
        <v>0</v>
      </c>
      <c r="G39" s="15">
        <f t="shared" si="21"/>
        <v>0</v>
      </c>
      <c r="H39" s="15">
        <f t="shared" si="21"/>
        <v>0</v>
      </c>
      <c r="I39" s="15">
        <f t="shared" si="21"/>
        <v>0</v>
      </c>
      <c r="J39" s="15">
        <f t="shared" si="21"/>
        <v>0</v>
      </c>
      <c r="K39" s="15">
        <f t="shared" si="21"/>
        <v>0</v>
      </c>
      <c r="L39" s="15">
        <f t="shared" si="21"/>
        <v>0</v>
      </c>
      <c r="M39" s="15">
        <f t="shared" si="21"/>
        <v>0</v>
      </c>
      <c r="N39" s="15">
        <f t="shared" si="21"/>
        <v>0</v>
      </c>
      <c r="O39" s="15">
        <f t="shared" si="21"/>
        <v>4054.2367764963383</v>
      </c>
      <c r="P39" s="15">
        <f t="shared" si="21"/>
        <v>4363.5990802263432</v>
      </c>
      <c r="Q39" s="15">
        <f t="shared" si="21"/>
        <v>4675.2847288139401</v>
      </c>
      <c r="R39" s="15">
        <f t="shared" si="21"/>
        <v>4986.9703774015361</v>
      </c>
      <c r="S39" s="15">
        <f t="shared" si="21"/>
        <v>5242.8406608776368</v>
      </c>
      <c r="T39" s="15">
        <f t="shared" si="21"/>
        <v>5387.8921641185561</v>
      </c>
      <c r="U39" s="15">
        <f t="shared" si="21"/>
        <v>5532.9436673594746</v>
      </c>
      <c r="V39" s="15">
        <f t="shared" si="21"/>
        <v>5677.995170600394</v>
      </c>
    </row>
    <row r="41" spans="1:22" ht="14.45" customHeight="1">
      <c r="A41" s="118" t="s">
        <v>77</v>
      </c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</row>
    <row r="42" spans="1:22">
      <c r="A42" s="39"/>
      <c r="B42" s="39"/>
      <c r="C42" s="132">
        <v>2022</v>
      </c>
      <c r="D42" s="132"/>
      <c r="E42" s="132"/>
      <c r="F42" s="132"/>
      <c r="G42" s="135">
        <v>2023</v>
      </c>
      <c r="H42" s="135"/>
      <c r="I42" s="135"/>
      <c r="J42" s="135"/>
      <c r="K42" s="138">
        <v>2024</v>
      </c>
      <c r="L42" s="138"/>
      <c r="M42" s="138"/>
      <c r="N42" s="138"/>
      <c r="O42" s="135">
        <v>2025</v>
      </c>
      <c r="P42" s="135"/>
      <c r="Q42" s="135"/>
      <c r="R42" s="135"/>
      <c r="S42" s="141">
        <v>2026</v>
      </c>
      <c r="T42" s="141"/>
      <c r="U42" s="141"/>
      <c r="V42" s="141"/>
    </row>
    <row r="43" spans="1:22">
      <c r="A43" s="39"/>
      <c r="B43" s="39"/>
      <c r="C43" s="39">
        <v>1</v>
      </c>
      <c r="D43" s="39">
        <v>2</v>
      </c>
      <c r="E43" s="39">
        <v>3</v>
      </c>
      <c r="F43" s="39">
        <v>4</v>
      </c>
      <c r="G43" s="39">
        <v>1</v>
      </c>
      <c r="H43" s="39">
        <v>2</v>
      </c>
      <c r="I43" s="39">
        <v>3</v>
      </c>
      <c r="J43" s="39">
        <v>4</v>
      </c>
      <c r="K43" s="39">
        <v>1</v>
      </c>
      <c r="L43" s="39">
        <v>2</v>
      </c>
      <c r="M43" s="39">
        <v>3</v>
      </c>
      <c r="N43" s="39">
        <v>4</v>
      </c>
      <c r="O43" s="39">
        <v>1</v>
      </c>
      <c r="P43" s="39">
        <v>2</v>
      </c>
      <c r="Q43" s="39">
        <v>3</v>
      </c>
      <c r="R43" s="39">
        <v>4</v>
      </c>
      <c r="S43" s="39">
        <v>1</v>
      </c>
      <c r="T43" s="39">
        <v>2</v>
      </c>
      <c r="U43" s="39">
        <v>3</v>
      </c>
      <c r="V43" s="39">
        <v>4</v>
      </c>
    </row>
    <row r="44" spans="1:22">
      <c r="A44" s="160">
        <v>1</v>
      </c>
      <c r="B44" s="39" t="s">
        <v>15</v>
      </c>
      <c r="C44" s="39" t="s">
        <v>78</v>
      </c>
      <c r="D44" s="39" t="s">
        <v>78</v>
      </c>
      <c r="E44" s="40">
        <v>50200</v>
      </c>
      <c r="F44" s="40">
        <v>52000</v>
      </c>
      <c r="G44" s="40">
        <v>52000</v>
      </c>
      <c r="H44" s="40">
        <v>52000</v>
      </c>
      <c r="I44" s="40">
        <v>86800</v>
      </c>
      <c r="J44" s="40">
        <v>94000</v>
      </c>
      <c r="K44" s="40">
        <v>104000</v>
      </c>
      <c r="L44" s="40">
        <v>104000</v>
      </c>
      <c r="M44" s="40">
        <v>104000</v>
      </c>
      <c r="N44" s="40">
        <v>104000</v>
      </c>
      <c r="O44" s="40">
        <v>104000</v>
      </c>
      <c r="P44" s="40">
        <v>104000</v>
      </c>
      <c r="Q44" s="40">
        <v>104000</v>
      </c>
      <c r="R44" s="40">
        <v>104000</v>
      </c>
      <c r="S44" s="40">
        <v>104000</v>
      </c>
      <c r="T44" s="40">
        <v>104000</v>
      </c>
      <c r="U44" s="40">
        <v>104000</v>
      </c>
      <c r="V44" s="40">
        <v>104000</v>
      </c>
    </row>
    <row r="45" spans="1:22">
      <c r="A45" s="160"/>
      <c r="B45" s="39" t="s">
        <v>69</v>
      </c>
      <c r="C45" s="39" t="s">
        <v>78</v>
      </c>
      <c r="D45" s="39" t="s">
        <v>78</v>
      </c>
      <c r="E45" s="40">
        <v>2600</v>
      </c>
      <c r="F45" s="40">
        <v>3000</v>
      </c>
      <c r="G45" s="40">
        <v>4000</v>
      </c>
      <c r="H45" s="40">
        <v>4600</v>
      </c>
      <c r="I45" s="40">
        <v>5200</v>
      </c>
      <c r="J45" s="40">
        <v>5800</v>
      </c>
      <c r="K45" s="40">
        <v>7400</v>
      </c>
      <c r="L45" s="40">
        <v>8000</v>
      </c>
      <c r="M45" s="40">
        <v>8400</v>
      </c>
      <c r="N45" s="40">
        <v>8400</v>
      </c>
      <c r="O45" s="40">
        <v>9600</v>
      </c>
      <c r="P45" s="40">
        <v>9600</v>
      </c>
      <c r="Q45" s="40">
        <v>9600</v>
      </c>
      <c r="R45" s="40">
        <v>9600</v>
      </c>
      <c r="S45" s="40">
        <v>11000</v>
      </c>
      <c r="T45" s="40">
        <v>11000</v>
      </c>
      <c r="U45" s="40">
        <v>11000</v>
      </c>
      <c r="V45" s="40">
        <v>11000</v>
      </c>
    </row>
    <row r="46" spans="1:22">
      <c r="A46" s="160"/>
      <c r="B46" s="39" t="s">
        <v>16</v>
      </c>
      <c r="C46" s="39" t="s">
        <v>78</v>
      </c>
      <c r="D46" s="39" t="s">
        <v>78</v>
      </c>
      <c r="E46" s="40">
        <v>36200</v>
      </c>
      <c r="F46" s="40">
        <v>42200</v>
      </c>
      <c r="G46" s="40">
        <v>52000</v>
      </c>
      <c r="H46" s="40">
        <v>52000</v>
      </c>
      <c r="I46" s="40">
        <v>69400</v>
      </c>
      <c r="J46" s="40">
        <v>76200</v>
      </c>
      <c r="K46" s="40">
        <v>95600</v>
      </c>
      <c r="L46" s="40">
        <v>103600</v>
      </c>
      <c r="M46" s="40">
        <v>104000</v>
      </c>
      <c r="N46" s="40">
        <v>104000</v>
      </c>
      <c r="O46" s="40">
        <v>104000</v>
      </c>
      <c r="P46" s="40">
        <v>104000</v>
      </c>
      <c r="Q46" s="40">
        <v>104000</v>
      </c>
      <c r="R46" s="40">
        <v>104000</v>
      </c>
      <c r="S46" s="40">
        <v>104000</v>
      </c>
      <c r="T46" s="40">
        <v>104000</v>
      </c>
      <c r="U46" s="40">
        <v>104000</v>
      </c>
      <c r="V46" s="40">
        <v>104000</v>
      </c>
    </row>
    <row r="47" spans="1:22">
      <c r="A47" s="160"/>
      <c r="B47" s="39" t="s">
        <v>18</v>
      </c>
      <c r="C47" s="39" t="s">
        <v>78</v>
      </c>
      <c r="D47" s="39" t="s">
        <v>78</v>
      </c>
      <c r="E47" s="40">
        <v>1000</v>
      </c>
      <c r="F47" s="40">
        <v>1200</v>
      </c>
      <c r="G47" s="40">
        <v>1400</v>
      </c>
      <c r="H47" s="40">
        <v>1600</v>
      </c>
      <c r="I47" s="40">
        <v>1800</v>
      </c>
      <c r="J47" s="40">
        <v>2000</v>
      </c>
      <c r="K47" s="40">
        <v>2600</v>
      </c>
      <c r="L47" s="40">
        <v>2800</v>
      </c>
      <c r="M47" s="40">
        <v>3000</v>
      </c>
      <c r="N47" s="40">
        <v>3200</v>
      </c>
      <c r="O47" s="40">
        <v>3600</v>
      </c>
      <c r="P47" s="40">
        <v>3600</v>
      </c>
      <c r="Q47" s="40">
        <v>3600</v>
      </c>
      <c r="R47" s="40">
        <v>3600</v>
      </c>
      <c r="S47" s="40">
        <v>4200</v>
      </c>
      <c r="T47" s="40">
        <v>4200</v>
      </c>
      <c r="U47" s="40">
        <v>4200</v>
      </c>
      <c r="V47" s="40">
        <v>4200</v>
      </c>
    </row>
    <row r="48" spans="1:22">
      <c r="A48" s="160">
        <v>2</v>
      </c>
      <c r="B48" s="39" t="s">
        <v>20</v>
      </c>
      <c r="C48" s="39" t="s">
        <v>78</v>
      </c>
      <c r="D48" s="39" t="s">
        <v>78</v>
      </c>
      <c r="E48" s="40" t="s">
        <v>78</v>
      </c>
      <c r="F48" s="40" t="s">
        <v>78</v>
      </c>
      <c r="G48" s="40" t="s">
        <v>78</v>
      </c>
      <c r="H48" s="40" t="s">
        <v>78</v>
      </c>
      <c r="I48" s="40">
        <v>20000</v>
      </c>
      <c r="J48" s="40">
        <v>23200</v>
      </c>
      <c r="K48" s="40">
        <v>30600</v>
      </c>
      <c r="L48" s="40">
        <v>34400</v>
      </c>
      <c r="M48" s="40">
        <v>38200</v>
      </c>
      <c r="N48" s="40">
        <v>42000</v>
      </c>
      <c r="O48" s="40">
        <v>52600</v>
      </c>
      <c r="P48" s="40">
        <v>57000</v>
      </c>
      <c r="Q48" s="40">
        <v>61400</v>
      </c>
      <c r="R48" s="40">
        <v>65800</v>
      </c>
      <c r="S48" s="40">
        <v>75600</v>
      </c>
      <c r="T48" s="40">
        <v>75600</v>
      </c>
      <c r="U48" s="40">
        <v>75600</v>
      </c>
      <c r="V48" s="40">
        <v>75600</v>
      </c>
    </row>
    <row r="49" spans="1:22">
      <c r="A49" s="160"/>
      <c r="B49" s="39" t="s">
        <v>70</v>
      </c>
      <c r="C49" s="39" t="s">
        <v>78</v>
      </c>
      <c r="D49" s="39" t="s">
        <v>78</v>
      </c>
      <c r="E49" s="40" t="s">
        <v>78</v>
      </c>
      <c r="F49" s="40" t="s">
        <v>78</v>
      </c>
      <c r="G49" s="40" t="s">
        <v>78</v>
      </c>
      <c r="H49" s="40" t="s">
        <v>78</v>
      </c>
      <c r="I49" s="40">
        <v>16400</v>
      </c>
      <c r="J49" s="40">
        <v>17800</v>
      </c>
      <c r="K49" s="40">
        <v>22000</v>
      </c>
      <c r="L49" s="40">
        <v>23600</v>
      </c>
      <c r="M49" s="40">
        <v>25000</v>
      </c>
      <c r="N49" s="40">
        <v>25000</v>
      </c>
      <c r="O49" s="40">
        <v>28800</v>
      </c>
      <c r="P49" s="40">
        <v>28800</v>
      </c>
      <c r="Q49" s="40">
        <v>28800</v>
      </c>
      <c r="R49" s="40">
        <v>28800</v>
      </c>
      <c r="S49" s="40">
        <v>33200</v>
      </c>
      <c r="T49" s="40">
        <v>33200</v>
      </c>
      <c r="U49" s="40">
        <v>33200</v>
      </c>
      <c r="V49" s="40">
        <v>33200</v>
      </c>
    </row>
    <row r="50" spans="1:22">
      <c r="A50" s="160"/>
      <c r="B50" s="39" t="s">
        <v>32</v>
      </c>
      <c r="C50" s="39" t="s">
        <v>78</v>
      </c>
      <c r="D50" s="39" t="s">
        <v>78</v>
      </c>
      <c r="E50" s="40" t="s">
        <v>78</v>
      </c>
      <c r="F50" s="40" t="s">
        <v>78</v>
      </c>
      <c r="G50" s="40" t="s">
        <v>78</v>
      </c>
      <c r="H50" s="40" t="s">
        <v>78</v>
      </c>
      <c r="I50" s="40">
        <v>52000</v>
      </c>
      <c r="J50" s="40">
        <v>52000</v>
      </c>
      <c r="K50" s="40">
        <v>52000</v>
      </c>
      <c r="L50" s="40">
        <v>52000</v>
      </c>
      <c r="M50" s="40">
        <v>104000</v>
      </c>
      <c r="N50" s="40">
        <v>104000</v>
      </c>
      <c r="O50" s="40">
        <v>104000</v>
      </c>
      <c r="P50" s="40">
        <v>104000</v>
      </c>
      <c r="Q50" s="40">
        <v>104000</v>
      </c>
      <c r="R50" s="40">
        <v>104000</v>
      </c>
      <c r="S50" s="40">
        <v>104000</v>
      </c>
      <c r="T50" s="40">
        <v>104000</v>
      </c>
      <c r="U50" s="40">
        <v>104000</v>
      </c>
      <c r="V50" s="40">
        <v>104000</v>
      </c>
    </row>
    <row r="51" spans="1:22">
      <c r="A51" s="160"/>
      <c r="B51" s="39" t="s">
        <v>71</v>
      </c>
      <c r="C51" s="39" t="s">
        <v>78</v>
      </c>
      <c r="D51" s="39" t="s">
        <v>78</v>
      </c>
      <c r="E51" s="40" t="s">
        <v>78</v>
      </c>
      <c r="F51" s="40" t="s">
        <v>78</v>
      </c>
      <c r="G51" s="40" t="s">
        <v>78</v>
      </c>
      <c r="H51" s="40" t="s">
        <v>78</v>
      </c>
      <c r="I51" s="40">
        <v>1200</v>
      </c>
      <c r="J51" s="40">
        <v>1400</v>
      </c>
      <c r="K51" s="40">
        <v>1800</v>
      </c>
      <c r="L51" s="40">
        <v>2000</v>
      </c>
      <c r="M51" s="40">
        <v>2200</v>
      </c>
      <c r="N51" s="40">
        <v>2400</v>
      </c>
      <c r="O51" s="40">
        <v>3000</v>
      </c>
      <c r="P51" s="40">
        <v>3200</v>
      </c>
      <c r="Q51" s="40">
        <v>3400</v>
      </c>
      <c r="R51" s="40">
        <v>3600</v>
      </c>
      <c r="S51" s="40">
        <v>4000</v>
      </c>
      <c r="T51" s="40">
        <v>4000</v>
      </c>
      <c r="U51" s="40">
        <v>4000</v>
      </c>
      <c r="V51" s="40">
        <v>4000</v>
      </c>
    </row>
    <row r="52" spans="1:22">
      <c r="A52" s="160">
        <v>3</v>
      </c>
      <c r="B52" s="39" t="s">
        <v>24</v>
      </c>
      <c r="C52" s="39" t="s">
        <v>78</v>
      </c>
      <c r="D52" s="39" t="s">
        <v>78</v>
      </c>
      <c r="E52" s="40" t="s">
        <v>78</v>
      </c>
      <c r="F52" s="40" t="s">
        <v>78</v>
      </c>
      <c r="G52" s="40" t="s">
        <v>78</v>
      </c>
      <c r="H52" s="40" t="s">
        <v>78</v>
      </c>
      <c r="I52" s="40" t="s">
        <v>78</v>
      </c>
      <c r="J52" s="40" t="s">
        <v>78</v>
      </c>
      <c r="K52" s="40" t="s">
        <v>78</v>
      </c>
      <c r="L52" s="40" t="s">
        <v>78</v>
      </c>
      <c r="M52" s="40">
        <v>52000</v>
      </c>
      <c r="N52" s="40">
        <v>52000</v>
      </c>
      <c r="O52" s="40">
        <v>52000</v>
      </c>
      <c r="P52" s="40">
        <v>52000</v>
      </c>
      <c r="Q52" s="40">
        <v>104000</v>
      </c>
      <c r="R52" s="40">
        <v>104000</v>
      </c>
      <c r="S52" s="40">
        <v>104000</v>
      </c>
      <c r="T52" s="40">
        <v>104000</v>
      </c>
      <c r="U52" s="40">
        <v>104000</v>
      </c>
      <c r="V52" s="40">
        <v>104000</v>
      </c>
    </row>
    <row r="53" spans="1:22">
      <c r="A53" s="160"/>
      <c r="B53" s="39" t="s">
        <v>72</v>
      </c>
      <c r="C53" s="39" t="s">
        <v>78</v>
      </c>
      <c r="D53" s="39" t="s">
        <v>78</v>
      </c>
      <c r="E53" s="40" t="s">
        <v>78</v>
      </c>
      <c r="F53" s="40" t="s">
        <v>78</v>
      </c>
      <c r="G53" s="40" t="s">
        <v>78</v>
      </c>
      <c r="H53" s="40" t="s">
        <v>78</v>
      </c>
      <c r="I53" s="40" t="s">
        <v>78</v>
      </c>
      <c r="J53" s="40" t="s">
        <v>78</v>
      </c>
      <c r="K53" s="40" t="s">
        <v>78</v>
      </c>
      <c r="L53" s="40" t="s">
        <v>78</v>
      </c>
      <c r="M53" s="40">
        <v>2000</v>
      </c>
      <c r="N53" s="40">
        <v>2200</v>
      </c>
      <c r="O53" s="40">
        <v>2800</v>
      </c>
      <c r="P53" s="40">
        <v>3200</v>
      </c>
      <c r="Q53" s="40">
        <v>3400</v>
      </c>
      <c r="R53" s="40">
        <v>3800</v>
      </c>
      <c r="S53" s="40">
        <v>4600</v>
      </c>
      <c r="T53" s="40">
        <v>5000</v>
      </c>
      <c r="U53" s="40">
        <v>5400</v>
      </c>
      <c r="V53" s="40">
        <v>5400</v>
      </c>
    </row>
    <row r="54" spans="1:22">
      <c r="A54" s="160"/>
      <c r="B54" s="39" t="s">
        <v>28</v>
      </c>
      <c r="C54" s="39" t="s">
        <v>78</v>
      </c>
      <c r="D54" s="39" t="s">
        <v>78</v>
      </c>
      <c r="E54" s="40" t="s">
        <v>78</v>
      </c>
      <c r="F54" s="40" t="s">
        <v>78</v>
      </c>
      <c r="G54" s="40" t="s">
        <v>78</v>
      </c>
      <c r="H54" s="40" t="s">
        <v>78</v>
      </c>
      <c r="I54" s="40" t="s">
        <v>78</v>
      </c>
      <c r="J54" s="40" t="s">
        <v>78</v>
      </c>
      <c r="K54" s="40" t="s">
        <v>78</v>
      </c>
      <c r="L54" s="40" t="s">
        <v>78</v>
      </c>
      <c r="M54" s="40">
        <v>7000</v>
      </c>
      <c r="N54" s="40">
        <v>8200</v>
      </c>
      <c r="O54" s="40">
        <v>10800</v>
      </c>
      <c r="P54" s="40">
        <v>12200</v>
      </c>
      <c r="Q54" s="40">
        <v>13600</v>
      </c>
      <c r="R54" s="40">
        <v>14800</v>
      </c>
      <c r="S54" s="40">
        <v>18600</v>
      </c>
      <c r="T54" s="40">
        <v>20200</v>
      </c>
      <c r="U54" s="40">
        <v>21800</v>
      </c>
      <c r="V54" s="40">
        <v>23200</v>
      </c>
    </row>
    <row r="55" spans="1:22">
      <c r="A55" s="160">
        <v>4</v>
      </c>
      <c r="B55" s="39" t="s">
        <v>73</v>
      </c>
      <c r="C55" s="39" t="s">
        <v>78</v>
      </c>
      <c r="D55" s="39" t="s">
        <v>78</v>
      </c>
      <c r="E55" s="40" t="s">
        <v>78</v>
      </c>
      <c r="F55" s="40" t="s">
        <v>78</v>
      </c>
      <c r="G55" s="40" t="s">
        <v>78</v>
      </c>
      <c r="H55" s="40" t="s">
        <v>78</v>
      </c>
      <c r="I55" s="40" t="s">
        <v>78</v>
      </c>
      <c r="J55" s="40" t="s">
        <v>78</v>
      </c>
      <c r="K55" s="40" t="s">
        <v>78</v>
      </c>
      <c r="L55" s="40" t="s">
        <v>78</v>
      </c>
      <c r="M55" s="40" t="s">
        <v>78</v>
      </c>
      <c r="N55" s="40" t="s">
        <v>78</v>
      </c>
      <c r="O55" s="40" t="s">
        <v>78</v>
      </c>
      <c r="P55" s="40" t="s">
        <v>78</v>
      </c>
      <c r="Q55" s="40">
        <v>39200</v>
      </c>
      <c r="R55" s="40">
        <v>44000</v>
      </c>
      <c r="S55" s="40">
        <v>52000</v>
      </c>
      <c r="T55" s="40">
        <v>52000</v>
      </c>
      <c r="U55" s="40">
        <v>67600</v>
      </c>
      <c r="V55" s="40">
        <v>73200</v>
      </c>
    </row>
    <row r="56" spans="1:22">
      <c r="A56" s="160"/>
      <c r="B56" s="39" t="s">
        <v>74</v>
      </c>
      <c r="C56" s="39" t="s">
        <v>78</v>
      </c>
      <c r="D56" s="39" t="s">
        <v>78</v>
      </c>
      <c r="E56" s="40" t="s">
        <v>78</v>
      </c>
      <c r="F56" s="40" t="s">
        <v>78</v>
      </c>
      <c r="G56" s="40" t="s">
        <v>78</v>
      </c>
      <c r="H56" s="40" t="s">
        <v>78</v>
      </c>
      <c r="I56" s="40" t="s">
        <v>78</v>
      </c>
      <c r="J56" s="40" t="s">
        <v>78</v>
      </c>
      <c r="K56" s="40" t="s">
        <v>78</v>
      </c>
      <c r="L56" s="40" t="s">
        <v>78</v>
      </c>
      <c r="M56" s="40" t="s">
        <v>78</v>
      </c>
      <c r="N56" s="40" t="s">
        <v>78</v>
      </c>
      <c r="O56" s="40" t="s">
        <v>78</v>
      </c>
      <c r="P56" s="40" t="s">
        <v>78</v>
      </c>
      <c r="Q56" s="40">
        <v>1800</v>
      </c>
      <c r="R56" s="40">
        <v>2200</v>
      </c>
      <c r="S56" s="40">
        <v>2800</v>
      </c>
      <c r="T56" s="40">
        <v>3200</v>
      </c>
      <c r="U56" s="40">
        <v>3600</v>
      </c>
      <c r="V56" s="40">
        <v>3800</v>
      </c>
    </row>
    <row r="57" spans="1:22">
      <c r="A57" s="160"/>
      <c r="B57" s="39" t="s">
        <v>21</v>
      </c>
      <c r="C57" s="39" t="s">
        <v>78</v>
      </c>
      <c r="D57" s="39" t="s">
        <v>78</v>
      </c>
      <c r="E57" s="40" t="s">
        <v>78</v>
      </c>
      <c r="F57" s="40" t="s">
        <v>78</v>
      </c>
      <c r="G57" s="40" t="s">
        <v>78</v>
      </c>
      <c r="H57" s="40" t="s">
        <v>78</v>
      </c>
      <c r="I57" s="40" t="s">
        <v>78</v>
      </c>
      <c r="J57" s="40" t="s">
        <v>78</v>
      </c>
      <c r="K57" s="40" t="s">
        <v>78</v>
      </c>
      <c r="L57" s="40" t="s">
        <v>78</v>
      </c>
      <c r="M57" s="40" t="s">
        <v>78</v>
      </c>
      <c r="N57" s="40" t="s">
        <v>78</v>
      </c>
      <c r="O57" s="40" t="s">
        <v>78</v>
      </c>
      <c r="P57" s="40" t="s">
        <v>78</v>
      </c>
      <c r="Q57" s="40">
        <v>16400</v>
      </c>
      <c r="R57" s="40">
        <v>18400</v>
      </c>
      <c r="S57" s="40">
        <v>23600</v>
      </c>
      <c r="T57" s="40">
        <v>25800</v>
      </c>
      <c r="U57" s="40">
        <v>28200</v>
      </c>
      <c r="V57" s="40">
        <v>30600</v>
      </c>
    </row>
    <row r="58" spans="1:22">
      <c r="A58" s="160"/>
      <c r="B58" s="39" t="s">
        <v>75</v>
      </c>
      <c r="C58" s="39" t="s">
        <v>78</v>
      </c>
      <c r="D58" s="39" t="s">
        <v>78</v>
      </c>
      <c r="E58" s="40" t="s">
        <v>78</v>
      </c>
      <c r="F58" s="40" t="s">
        <v>78</v>
      </c>
      <c r="G58" s="40" t="s">
        <v>78</v>
      </c>
      <c r="H58" s="40" t="s">
        <v>78</v>
      </c>
      <c r="I58" s="40" t="s">
        <v>78</v>
      </c>
      <c r="J58" s="40" t="s">
        <v>78</v>
      </c>
      <c r="K58" s="40" t="s">
        <v>78</v>
      </c>
      <c r="L58" s="40" t="s">
        <v>78</v>
      </c>
      <c r="M58" s="40" t="s">
        <v>78</v>
      </c>
      <c r="N58" s="40" t="s">
        <v>78</v>
      </c>
      <c r="O58" s="40" t="s">
        <v>78</v>
      </c>
      <c r="P58" s="40" t="s">
        <v>78</v>
      </c>
      <c r="Q58" s="40">
        <v>6400</v>
      </c>
      <c r="R58" s="40">
        <v>7400</v>
      </c>
      <c r="S58" s="40">
        <v>9800</v>
      </c>
      <c r="T58" s="40">
        <v>11000</v>
      </c>
      <c r="U58" s="40">
        <v>12400</v>
      </c>
      <c r="V58" s="40">
        <v>13600</v>
      </c>
    </row>
    <row r="63" spans="1:22">
      <c r="B63" s="41"/>
      <c r="C63" s="159" t="s">
        <v>79</v>
      </c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</row>
    <row r="64" spans="1:22">
      <c r="C64" s="132">
        <v>2022</v>
      </c>
      <c r="D64" s="132"/>
      <c r="E64" s="132"/>
      <c r="F64" s="132"/>
      <c r="G64" s="135">
        <v>2023</v>
      </c>
      <c r="H64" s="135"/>
      <c r="I64" s="135"/>
      <c r="J64" s="135"/>
      <c r="K64" s="138">
        <v>2024</v>
      </c>
      <c r="L64" s="138"/>
      <c r="M64" s="138"/>
      <c r="N64" s="138"/>
      <c r="O64" s="135">
        <v>2025</v>
      </c>
      <c r="P64" s="135"/>
      <c r="Q64" s="135"/>
      <c r="R64" s="135"/>
      <c r="S64" s="141">
        <v>2026</v>
      </c>
      <c r="T64" s="141"/>
      <c r="U64" s="141"/>
      <c r="V64" s="141"/>
    </row>
    <row r="65" spans="1:22">
      <c r="C65" s="39">
        <v>1</v>
      </c>
      <c r="D65" s="39">
        <v>2</v>
      </c>
      <c r="E65" s="39">
        <v>3</v>
      </c>
      <c r="F65" s="39">
        <v>4</v>
      </c>
      <c r="G65" s="39">
        <v>1</v>
      </c>
      <c r="H65" s="39">
        <v>2</v>
      </c>
      <c r="I65" s="39">
        <v>3</v>
      </c>
      <c r="J65" s="39">
        <v>4</v>
      </c>
      <c r="K65" s="39">
        <v>1</v>
      </c>
      <c r="L65" s="39">
        <v>2</v>
      </c>
      <c r="M65" s="39">
        <v>3</v>
      </c>
      <c r="N65" s="39">
        <v>4</v>
      </c>
      <c r="O65" s="39">
        <v>1</v>
      </c>
      <c r="P65" s="39">
        <v>2</v>
      </c>
      <c r="Q65" s="39">
        <v>3</v>
      </c>
      <c r="R65" s="39">
        <v>4</v>
      </c>
      <c r="S65" s="39">
        <v>1</v>
      </c>
      <c r="T65" s="39">
        <v>2</v>
      </c>
      <c r="U65" s="39">
        <v>3</v>
      </c>
      <c r="V65" s="39">
        <v>4</v>
      </c>
    </row>
    <row r="66" spans="1:22">
      <c r="A66" s="160">
        <v>1</v>
      </c>
      <c r="B66" s="39" t="s">
        <v>15</v>
      </c>
      <c r="E66" s="42">
        <f>E44/E23</f>
        <v>6.9691410673883567</v>
      </c>
      <c r="F66" s="42">
        <f t="shared" ref="F66:V80" si="22">F44/F23</f>
        <v>6.819961035608948</v>
      </c>
      <c r="G66" s="42">
        <f t="shared" si="22"/>
        <v>6.1928164652261453</v>
      </c>
      <c r="H66" s="42">
        <f t="shared" si="22"/>
        <v>6.023227821136766</v>
      </c>
      <c r="I66" s="42">
        <f t="shared" si="22"/>
        <v>9.88738710835168</v>
      </c>
      <c r="J66" s="42">
        <f t="shared" si="22"/>
        <v>10.479516907659486</v>
      </c>
      <c r="K66" s="42">
        <f t="shared" si="22"/>
        <v>11.305719799909793</v>
      </c>
      <c r="L66" s="42">
        <f t="shared" si="22"/>
        <v>11.177106519412446</v>
      </c>
      <c r="M66" s="42">
        <f t="shared" si="22"/>
        <v>10.982372193820884</v>
      </c>
      <c r="N66" s="42">
        <f t="shared" si="22"/>
        <v>10.982372193820884</v>
      </c>
      <c r="O66" s="42">
        <f t="shared" si="22"/>
        <v>10.767031562569494</v>
      </c>
      <c r="P66" s="42">
        <f t="shared" si="22"/>
        <v>10.767031562569494</v>
      </c>
      <c r="Q66" s="42">
        <f t="shared" si="22"/>
        <v>10.767031562569494</v>
      </c>
      <c r="R66" s="42">
        <f t="shared" si="22"/>
        <v>10.776969211839592</v>
      </c>
      <c r="S66" s="42">
        <f t="shared" si="22"/>
        <v>10.560030075081393</v>
      </c>
      <c r="T66" s="42">
        <f t="shared" si="22"/>
        <v>10.55591329663676</v>
      </c>
      <c r="U66" s="42">
        <f t="shared" si="22"/>
        <v>10.55591329663676</v>
      </c>
      <c r="V66" s="42">
        <f t="shared" si="22"/>
        <v>10.55591329663676</v>
      </c>
    </row>
    <row r="67" spans="1:22">
      <c r="A67" s="160"/>
      <c r="B67" s="39" t="s">
        <v>69</v>
      </c>
      <c r="E67" s="42">
        <f t="shared" ref="E67:T69" si="23">E45/E24</f>
        <v>0.19991528734252989</v>
      </c>
      <c r="F67" s="42">
        <f t="shared" si="23"/>
        <v>0.22530703224650064</v>
      </c>
      <c r="G67" s="42">
        <f t="shared" si="23"/>
        <v>0.27503596656942703</v>
      </c>
      <c r="H67" s="42">
        <f t="shared" si="23"/>
        <v>0.30762980611484625</v>
      </c>
      <c r="I67" s="42">
        <f t="shared" si="23"/>
        <v>0.34198715154122322</v>
      </c>
      <c r="J67" s="42">
        <f t="shared" si="23"/>
        <v>0.37332410812740102</v>
      </c>
      <c r="K67" s="42">
        <f t="shared" si="23"/>
        <v>0.45582811210281465</v>
      </c>
      <c r="L67" s="42">
        <f t="shared" si="23"/>
        <v>0.48858420633588012</v>
      </c>
      <c r="M67" s="42">
        <f t="shared" si="23"/>
        <v>0.50867496882740759</v>
      </c>
      <c r="N67" s="42">
        <f t="shared" si="23"/>
        <v>0.50440928436040799</v>
      </c>
      <c r="O67" s="42">
        <f t="shared" si="23"/>
        <v>0.57646775355475188</v>
      </c>
      <c r="P67" s="42">
        <f t="shared" si="23"/>
        <v>0.57646775355475188</v>
      </c>
      <c r="Q67" s="42">
        <f t="shared" si="23"/>
        <v>0.57646775355475188</v>
      </c>
      <c r="R67" s="42">
        <f t="shared" si="23"/>
        <v>0.57646775355475188</v>
      </c>
      <c r="S67" s="42">
        <f t="shared" si="23"/>
        <v>0.66053596761481992</v>
      </c>
      <c r="T67" s="42">
        <f t="shared" si="23"/>
        <v>0.66053596761481992</v>
      </c>
      <c r="U67" s="42">
        <f t="shared" si="22"/>
        <v>0.65634243972858786</v>
      </c>
      <c r="V67" s="42">
        <f t="shared" si="22"/>
        <v>0.65634243972858786</v>
      </c>
    </row>
    <row r="68" spans="1:22">
      <c r="A68" s="160"/>
      <c r="B68" s="39" t="s">
        <v>16</v>
      </c>
      <c r="E68" s="42">
        <f t="shared" si="23"/>
        <v>2.0735832261452916</v>
      </c>
      <c r="F68" s="42">
        <f t="shared" si="22"/>
        <v>2.3610554477835759</v>
      </c>
      <c r="G68" s="42">
        <f t="shared" si="22"/>
        <v>2.7047596350322629</v>
      </c>
      <c r="H68" s="42">
        <f t="shared" si="22"/>
        <v>2.6306905064429555</v>
      </c>
      <c r="I68" s="42">
        <f t="shared" si="22"/>
        <v>3.4527231012999016</v>
      </c>
      <c r="J68" s="42">
        <f t="shared" si="22"/>
        <v>3.7102984748460601</v>
      </c>
      <c r="K68" s="42">
        <f t="shared" si="22"/>
        <v>4.3355780851846353</v>
      </c>
      <c r="L68" s="42">
        <f t="shared" si="22"/>
        <v>4.6859881355846342</v>
      </c>
      <c r="M68" s="42">
        <f t="shared" si="22"/>
        <v>4.7040807538687446</v>
      </c>
      <c r="N68" s="42">
        <f t="shared" si="22"/>
        <v>4.7040807538687446</v>
      </c>
      <c r="O68" s="42">
        <f t="shared" si="22"/>
        <v>4.7040807538687446</v>
      </c>
      <c r="P68" s="42">
        <f t="shared" si="22"/>
        <v>4.7040807538687446</v>
      </c>
      <c r="Q68" s="42">
        <f t="shared" si="22"/>
        <v>4.7040807538687446</v>
      </c>
      <c r="R68" s="42">
        <f t="shared" si="22"/>
        <v>4.7040807538687446</v>
      </c>
      <c r="S68" s="42">
        <f t="shared" si="22"/>
        <v>4.7040807538687446</v>
      </c>
      <c r="T68" s="42">
        <f t="shared" si="22"/>
        <v>4.7040807538687446</v>
      </c>
      <c r="U68" s="42">
        <f t="shared" si="22"/>
        <v>4.7040807538687446</v>
      </c>
      <c r="V68" s="42">
        <f t="shared" si="22"/>
        <v>4.7040807538687446</v>
      </c>
    </row>
    <row r="69" spans="1:22">
      <c r="A69" s="160"/>
      <c r="B69" s="39" t="s">
        <v>18</v>
      </c>
      <c r="E69" s="42">
        <f t="shared" si="23"/>
        <v>0.10554910817525517</v>
      </c>
      <c r="F69" s="42">
        <f t="shared" si="22"/>
        <v>0.12488747624652573</v>
      </c>
      <c r="G69" s="42">
        <f t="shared" si="22"/>
        <v>0.13938922145900179</v>
      </c>
      <c r="H69" s="42">
        <f t="shared" si="22"/>
        <v>0.15783329527924195</v>
      </c>
      <c r="I69" s="42">
        <f t="shared" si="22"/>
        <v>0.1775624571891472</v>
      </c>
      <c r="J69" s="42">
        <f t="shared" si="22"/>
        <v>0.19620627400620927</v>
      </c>
      <c r="K69" s="42">
        <f t="shared" si="22"/>
        <v>0.24719596206172967</v>
      </c>
      <c r="L69" s="42">
        <f t="shared" si="22"/>
        <v>0.26366203751646988</v>
      </c>
      <c r="M69" s="42">
        <f t="shared" si="22"/>
        <v>0.28148432448889676</v>
      </c>
      <c r="N69" s="42">
        <f t="shared" si="22"/>
        <v>0.2981167315842147</v>
      </c>
      <c r="O69" s="42">
        <f t="shared" si="22"/>
        <v>0.32476725983342269</v>
      </c>
      <c r="P69" s="42">
        <f t="shared" si="22"/>
        <v>0.31990323405250742</v>
      </c>
      <c r="Q69" s="42">
        <f t="shared" si="22"/>
        <v>0.31429089661298976</v>
      </c>
      <c r="R69" s="42">
        <f t="shared" si="22"/>
        <v>0.30682431730118942</v>
      </c>
      <c r="S69" s="42">
        <f t="shared" si="22"/>
        <v>0.3465393084131223</v>
      </c>
      <c r="T69" s="42">
        <f t="shared" si="22"/>
        <v>0.33733752114777121</v>
      </c>
      <c r="U69" s="42">
        <f t="shared" si="22"/>
        <v>0.32861177047141921</v>
      </c>
      <c r="V69" s="42">
        <f t="shared" si="22"/>
        <v>0.3203260475649285</v>
      </c>
    </row>
    <row r="70" spans="1:22">
      <c r="A70" s="160">
        <v>2</v>
      </c>
      <c r="B70" s="39" t="s">
        <v>20</v>
      </c>
      <c r="E70" s="42"/>
      <c r="F70" s="42"/>
      <c r="G70" s="42"/>
      <c r="H70" s="42"/>
      <c r="I70" s="42">
        <f t="shared" si="22"/>
        <v>1.4385452560023932</v>
      </c>
      <c r="J70" s="42">
        <f t="shared" si="22"/>
        <v>1.6203690412825289</v>
      </c>
      <c r="K70" s="42">
        <f t="shared" si="22"/>
        <v>1.9740243253338106</v>
      </c>
      <c r="L70" s="42">
        <f t="shared" si="22"/>
        <v>2.158424861588752</v>
      </c>
      <c r="M70" s="42">
        <f t="shared" si="22"/>
        <v>2.3330000377827993</v>
      </c>
      <c r="N70" s="42">
        <f t="shared" si="22"/>
        <v>2.4985147585186649</v>
      </c>
      <c r="O70" s="42">
        <f t="shared" si="22"/>
        <v>2.8988469597476545</v>
      </c>
      <c r="P70" s="42">
        <f t="shared" si="22"/>
        <v>3.0638741813899579</v>
      </c>
      <c r="Q70" s="42">
        <f t="shared" si="22"/>
        <v>3.2209584885010818</v>
      </c>
      <c r="R70" s="42">
        <f t="shared" si="22"/>
        <v>3.3706598549073825</v>
      </c>
      <c r="S70" s="42">
        <f t="shared" si="22"/>
        <v>3.5964738311430633</v>
      </c>
      <c r="T70" s="42">
        <f t="shared" si="22"/>
        <v>3.515782792404254</v>
      </c>
      <c r="U70" s="42">
        <f t="shared" si="22"/>
        <v>3.4386330926932787</v>
      </c>
      <c r="V70" s="42">
        <f t="shared" si="22"/>
        <v>3.419504855696895</v>
      </c>
    </row>
    <row r="71" spans="1:22">
      <c r="A71" s="160"/>
      <c r="B71" s="39" t="s">
        <v>70</v>
      </c>
      <c r="E71" s="42"/>
      <c r="F71" s="42"/>
      <c r="G71" s="42"/>
      <c r="H71" s="42"/>
      <c r="I71" s="42">
        <f t="shared" si="22"/>
        <v>3.0619234545672573</v>
      </c>
      <c r="J71" s="42">
        <f t="shared" si="22"/>
        <v>3.2769892942205114</v>
      </c>
      <c r="K71" s="42">
        <f t="shared" si="22"/>
        <v>3.7808628514128166</v>
      </c>
      <c r="L71" s="42">
        <f t="shared" si="22"/>
        <v>4.0008403264041075</v>
      </c>
      <c r="M71" s="42">
        <f t="shared" si="22"/>
        <v>4.1814802742517854</v>
      </c>
      <c r="N71" s="42">
        <f t="shared" si="22"/>
        <v>4.1262792145256881</v>
      </c>
      <c r="O71" s="42">
        <f t="shared" si="22"/>
        <v>4.441102429444066</v>
      </c>
      <c r="P71" s="42">
        <f t="shared" si="22"/>
        <v>4.3839821409624706</v>
      </c>
      <c r="Q71" s="42">
        <f t="shared" si="22"/>
        <v>4.3283125264740585</v>
      </c>
      <c r="R71" s="42">
        <f t="shared" si="22"/>
        <v>4.2740390151703087</v>
      </c>
      <c r="S71" s="42">
        <f t="shared" si="22"/>
        <v>4.6067785966982751</v>
      </c>
      <c r="T71" s="42">
        <f t="shared" si="22"/>
        <v>4.5504265649343827</v>
      </c>
      <c r="U71" s="42">
        <f t="shared" si="22"/>
        <v>4.4954365158113063</v>
      </c>
      <c r="V71" s="42">
        <f t="shared" si="22"/>
        <v>4.4417596618911723</v>
      </c>
    </row>
    <row r="72" spans="1:22">
      <c r="A72" s="160"/>
      <c r="B72" s="39" t="s">
        <v>32</v>
      </c>
      <c r="E72" s="42"/>
      <c r="F72" s="42"/>
      <c r="G72" s="42"/>
      <c r="H72" s="42"/>
      <c r="I72" s="42">
        <f t="shared" si="22"/>
        <v>5.9490939063891934</v>
      </c>
      <c r="J72" s="42">
        <f t="shared" si="22"/>
        <v>5.8582680452229496</v>
      </c>
      <c r="K72" s="42">
        <f t="shared" si="22"/>
        <v>5.3953638244402908</v>
      </c>
      <c r="L72" s="42">
        <f t="shared" si="22"/>
        <v>5.3154325085226573</v>
      </c>
      <c r="M72" s="42">
        <f t="shared" si="22"/>
        <v>10.475669907307427</v>
      </c>
      <c r="N72" s="42">
        <f t="shared" si="22"/>
        <v>10.324940843892932</v>
      </c>
      <c r="O72" s="42">
        <f t="shared" si="22"/>
        <v>9.523146150991348</v>
      </c>
      <c r="P72" s="42">
        <f t="shared" si="22"/>
        <v>9.3899552957327295</v>
      </c>
      <c r="Q72" s="42">
        <f t="shared" si="22"/>
        <v>9.2604386709639996</v>
      </c>
      <c r="R72" s="42">
        <f t="shared" si="22"/>
        <v>9.1344463080937395</v>
      </c>
      <c r="S72" s="42">
        <f t="shared" si="22"/>
        <v>8.4364982137340405</v>
      </c>
      <c r="T72" s="42">
        <f t="shared" si="22"/>
        <v>8.3247565155388887</v>
      </c>
      <c r="U72" s="42">
        <f t="shared" si="22"/>
        <v>8.2159361689305364</v>
      </c>
      <c r="V72" s="42">
        <f t="shared" si="22"/>
        <v>8.1099240893314342</v>
      </c>
    </row>
    <row r="73" spans="1:22">
      <c r="A73" s="160"/>
      <c r="B73" s="39" t="s">
        <v>71</v>
      </c>
      <c r="E73" s="42"/>
      <c r="F73" s="42"/>
      <c r="G73" s="42"/>
      <c r="H73" s="42"/>
      <c r="I73" s="42">
        <f t="shared" si="22"/>
        <v>0.12735965524845785</v>
      </c>
      <c r="J73" s="42">
        <f t="shared" si="22"/>
        <v>0.14631777186941153</v>
      </c>
      <c r="K73" s="42">
        <f t="shared" si="22"/>
        <v>0.17975899665082315</v>
      </c>
      <c r="L73" s="42">
        <f t="shared" si="22"/>
        <v>0.19677322267127145</v>
      </c>
      <c r="M73" s="42">
        <f t="shared" si="22"/>
        <v>0.21329068296849496</v>
      </c>
      <c r="N73" s="42">
        <f t="shared" si="22"/>
        <v>0.22933282066723723</v>
      </c>
      <c r="O73" s="42">
        <f t="shared" si="22"/>
        <v>0.2741582665255799</v>
      </c>
      <c r="P73" s="42">
        <f t="shared" si="22"/>
        <v>0.28834547752060991</v>
      </c>
      <c r="Q73" s="42">
        <f t="shared" si="22"/>
        <v>0.30214131717784598</v>
      </c>
      <c r="R73" s="42">
        <f t="shared" si="22"/>
        <v>0.31556175983760626</v>
      </c>
      <c r="S73" s="42">
        <f t="shared" si="22"/>
        <v>0.33558485934607823</v>
      </c>
      <c r="T73" s="42">
        <f t="shared" si="22"/>
        <v>0.33114002677195786</v>
      </c>
      <c r="U73" s="42">
        <f t="shared" si="22"/>
        <v>0.32681139897101735</v>
      </c>
      <c r="V73" s="42">
        <f t="shared" si="22"/>
        <v>0.32259447769397198</v>
      </c>
    </row>
    <row r="74" spans="1:22">
      <c r="A74" s="160">
        <v>3</v>
      </c>
      <c r="B74" s="39" t="s">
        <v>24</v>
      </c>
      <c r="E74" s="42"/>
      <c r="F74" s="42"/>
      <c r="G74" s="42"/>
      <c r="H74" s="42"/>
      <c r="I74" s="42"/>
      <c r="J74" s="42"/>
      <c r="K74" s="42"/>
      <c r="L74" s="42"/>
      <c r="M74" s="42">
        <f t="shared" si="22"/>
        <v>13.419305678622486</v>
      </c>
      <c r="N74" s="42">
        <f t="shared" si="22"/>
        <v>13.207142742992099</v>
      </c>
      <c r="O74" s="42">
        <f t="shared" si="22"/>
        <v>12.314963568792711</v>
      </c>
      <c r="P74" s="42">
        <f t="shared" si="22"/>
        <v>12.126228494941479</v>
      </c>
      <c r="Q74" s="42">
        <f t="shared" si="22"/>
        <v>23.886382167394167</v>
      </c>
      <c r="R74" s="42">
        <f t="shared" si="22"/>
        <v>23.531194328473799</v>
      </c>
      <c r="S74" s="42">
        <f t="shared" si="22"/>
        <v>21.964067134883134</v>
      </c>
      <c r="T74" s="42">
        <f t="shared" si="22"/>
        <v>21.646896490336079</v>
      </c>
      <c r="U74" s="42">
        <f t="shared" si="22"/>
        <v>21.338755615028806</v>
      </c>
      <c r="V74" s="42">
        <f t="shared" si="22"/>
        <v>21.039264308151211</v>
      </c>
    </row>
    <row r="75" spans="1:22">
      <c r="A75" s="160"/>
      <c r="B75" s="39" t="s">
        <v>72</v>
      </c>
      <c r="E75" s="42"/>
      <c r="F75" s="42"/>
      <c r="G75" s="42"/>
      <c r="H75" s="42"/>
      <c r="I75" s="42"/>
      <c r="J75" s="42"/>
      <c r="K75" s="42"/>
      <c r="L75" s="42"/>
      <c r="M75" s="42">
        <f t="shared" si="22"/>
        <v>0.41522619088163548</v>
      </c>
      <c r="N75" s="42">
        <f t="shared" si="22"/>
        <v>0.4473224743043811</v>
      </c>
      <c r="O75" s="42">
        <f t="shared" si="22"/>
        <v>0.54516268262261169</v>
      </c>
      <c r="P75" s="42">
        <f t="shared" si="22"/>
        <v>0.61069446454919085</v>
      </c>
      <c r="Q75" s="42">
        <f t="shared" si="22"/>
        <v>0.63625245947676845</v>
      </c>
      <c r="R75" s="42">
        <f t="shared" si="22"/>
        <v>0.69754908239506253</v>
      </c>
      <c r="S75" s="42">
        <f t="shared" si="22"/>
        <v>0.80987869570440985</v>
      </c>
      <c r="T75" s="42">
        <f t="shared" si="22"/>
        <v>0.86413710001123789</v>
      </c>
      <c r="U75" s="42">
        <f t="shared" si="22"/>
        <v>0.91643864383486895</v>
      </c>
      <c r="V75" s="42">
        <f t="shared" si="22"/>
        <v>0.9002054311421418</v>
      </c>
    </row>
    <row r="76" spans="1:22">
      <c r="A76" s="160"/>
      <c r="B76" s="39" t="s">
        <v>28</v>
      </c>
      <c r="E76" s="42"/>
      <c r="F76" s="42"/>
      <c r="G76" s="42"/>
      <c r="H76" s="42"/>
      <c r="I76" s="42"/>
      <c r="J76" s="42"/>
      <c r="K76" s="42"/>
      <c r="L76" s="42"/>
      <c r="M76" s="42">
        <f t="shared" si="22"/>
        <v>0.40830076370351254</v>
      </c>
      <c r="N76" s="42">
        <f t="shared" si="22"/>
        <v>0.47212441024043461</v>
      </c>
      <c r="O76" s="42">
        <f t="shared" si="22"/>
        <v>0.6139020787672308</v>
      </c>
      <c r="P76" s="42">
        <f t="shared" si="22"/>
        <v>0.68476000971102657</v>
      </c>
      <c r="Q76" s="42">
        <f t="shared" si="22"/>
        <v>0.75385770954029097</v>
      </c>
      <c r="R76" s="42">
        <f t="shared" si="22"/>
        <v>0.81030983138844526</v>
      </c>
      <c r="S76" s="42">
        <f t="shared" si="22"/>
        <v>1.0062591662692306</v>
      </c>
      <c r="T76" s="42">
        <f t="shared" si="22"/>
        <v>1.0799835402334421</v>
      </c>
      <c r="U76" s="42">
        <f t="shared" si="22"/>
        <v>1.1519961804162695</v>
      </c>
      <c r="V76" s="42">
        <f t="shared" si="22"/>
        <v>1.2119085299626104</v>
      </c>
    </row>
    <row r="77" spans="1:22">
      <c r="A77" s="160">
        <v>4</v>
      </c>
      <c r="B77" s="39" t="s">
        <v>73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>
        <f t="shared" si="22"/>
        <v>2.0834260262195272</v>
      </c>
      <c r="R77" s="42">
        <f t="shared" si="22"/>
        <v>2.3098491332601316</v>
      </c>
      <c r="S77" s="42">
        <f t="shared" si="22"/>
        <v>2.6274570262266179</v>
      </c>
      <c r="T77" s="42">
        <f t="shared" si="22"/>
        <v>2.5965965960383799</v>
      </c>
      <c r="U77" s="42">
        <f t="shared" si="22"/>
        <v>3.3363884890030184</v>
      </c>
      <c r="V77" s="42">
        <f t="shared" si="22"/>
        <v>3.5713162599678236</v>
      </c>
    </row>
    <row r="78" spans="1:22">
      <c r="A78" s="160"/>
      <c r="B78" s="39" t="s">
        <v>74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>
        <f t="shared" si="22"/>
        <v>0.58417234724628364</v>
      </c>
      <c r="R78" s="42">
        <f t="shared" si="22"/>
        <v>0.70379895663942693</v>
      </c>
      <c r="S78" s="42">
        <f t="shared" si="22"/>
        <v>0.83971772487022678</v>
      </c>
      <c r="T78" s="42">
        <f t="shared" si="22"/>
        <v>0.94632396585356904</v>
      </c>
      <c r="U78" s="42">
        <f t="shared" si="22"/>
        <v>1.0500041754035057</v>
      </c>
      <c r="V78" s="42">
        <f t="shared" si="22"/>
        <v>1.0933333297955645</v>
      </c>
    </row>
    <row r="79" spans="1:22">
      <c r="A79" s="160"/>
      <c r="B79" s="39" t="s">
        <v>21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>
        <f t="shared" si="22"/>
        <v>1.0444257298936133</v>
      </c>
      <c r="R79" s="42">
        <f t="shared" si="22"/>
        <v>1.1578861786574774</v>
      </c>
      <c r="S79" s="42">
        <f t="shared" si="22"/>
        <v>1.4344777846388785</v>
      </c>
      <c r="T79" s="42">
        <f t="shared" si="22"/>
        <v>1.5562785391954053</v>
      </c>
      <c r="U79" s="42">
        <f t="shared" si="22"/>
        <v>1.6882145145772209</v>
      </c>
      <c r="V79" s="42">
        <f t="shared" si="22"/>
        <v>1.8181745294644562</v>
      </c>
    </row>
    <row r="80" spans="1:22">
      <c r="A80" s="160"/>
      <c r="B80" s="39" t="s">
        <v>75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>
        <f t="shared" si="22"/>
        <v>0.94056384842135532</v>
      </c>
      <c r="R80" s="42">
        <f t="shared" si="22"/>
        <v>1.073584296535433</v>
      </c>
      <c r="S80" s="42">
        <f t="shared" si="22"/>
        <v>1.3691180646728236</v>
      </c>
      <c r="T80" s="42">
        <f t="shared" si="22"/>
        <v>1.5138156219606675</v>
      </c>
      <c r="U80" s="42">
        <f t="shared" si="22"/>
        <v>1.6813739712188458</v>
      </c>
      <c r="V80" s="42">
        <f t="shared" si="22"/>
        <v>1.8173472387289151</v>
      </c>
    </row>
    <row r="86" spans="2:41">
      <c r="B86" s="127">
        <v>2023</v>
      </c>
      <c r="C86" s="127"/>
      <c r="D86" s="127"/>
      <c r="E86" s="127"/>
      <c r="F86" s="128">
        <f>B86+1</f>
        <v>2024</v>
      </c>
      <c r="G86" s="128"/>
      <c r="H86" s="128"/>
      <c r="I86" s="128"/>
      <c r="J86" s="129">
        <f t="shared" ref="J86" si="24">F86+1</f>
        <v>2025</v>
      </c>
      <c r="K86" s="129"/>
      <c r="L86" s="129"/>
      <c r="M86" s="129"/>
      <c r="N86" s="145">
        <f t="shared" ref="N86" si="25">J86+1</f>
        <v>2026</v>
      </c>
      <c r="O86" s="145"/>
      <c r="P86" s="145"/>
      <c r="Q86" s="145"/>
      <c r="R86" s="157">
        <f t="shared" ref="R86" si="26">N86+1</f>
        <v>2027</v>
      </c>
      <c r="S86" s="157"/>
      <c r="T86" s="157"/>
      <c r="U86" s="157"/>
      <c r="V86" s="127">
        <f t="shared" ref="V86" si="27">R86+1</f>
        <v>2028</v>
      </c>
      <c r="W86" s="127"/>
      <c r="X86" s="127"/>
      <c r="Y86" s="127"/>
      <c r="Z86" s="129">
        <f t="shared" ref="Z86" si="28">V86+1</f>
        <v>2029</v>
      </c>
      <c r="AA86" s="129"/>
      <c r="AB86" s="129"/>
      <c r="AC86" s="129"/>
      <c r="AD86" s="157">
        <f t="shared" ref="AD86" si="29">Z86+1</f>
        <v>2030</v>
      </c>
      <c r="AE86" s="157"/>
      <c r="AF86" s="157"/>
      <c r="AG86" s="157"/>
      <c r="AH86" s="145">
        <f t="shared" ref="AH86" si="30">AD86+1</f>
        <v>2031</v>
      </c>
      <c r="AI86" s="145"/>
      <c r="AJ86" s="145"/>
      <c r="AK86" s="145"/>
      <c r="AL86" s="145">
        <f t="shared" ref="AL86" si="31">AH86+1</f>
        <v>2032</v>
      </c>
      <c r="AM86" s="145"/>
      <c r="AN86" s="145"/>
      <c r="AO86" s="145"/>
    </row>
    <row r="87" spans="2:41">
      <c r="B87">
        <v>1</v>
      </c>
      <c r="C87">
        <v>2</v>
      </c>
      <c r="D87">
        <v>3</v>
      </c>
      <c r="E87">
        <v>4</v>
      </c>
      <c r="F87">
        <v>1</v>
      </c>
      <c r="G87">
        <v>2</v>
      </c>
      <c r="H87">
        <v>3</v>
      </c>
      <c r="I87">
        <v>4</v>
      </c>
      <c r="J87">
        <v>1</v>
      </c>
      <c r="K87">
        <v>2</v>
      </c>
      <c r="L87">
        <v>3</v>
      </c>
      <c r="M87">
        <v>4</v>
      </c>
      <c r="N87">
        <v>1</v>
      </c>
      <c r="O87">
        <v>2</v>
      </c>
      <c r="P87">
        <v>3</v>
      </c>
      <c r="Q87">
        <v>4</v>
      </c>
      <c r="R87">
        <v>1</v>
      </c>
      <c r="S87">
        <v>2</v>
      </c>
      <c r="T87">
        <v>3</v>
      </c>
      <c r="U87">
        <v>4</v>
      </c>
      <c r="V87">
        <v>1</v>
      </c>
      <c r="W87">
        <v>2</v>
      </c>
      <c r="X87">
        <v>3</v>
      </c>
      <c r="Y87">
        <v>4</v>
      </c>
      <c r="Z87">
        <v>1</v>
      </c>
      <c r="AA87">
        <v>2</v>
      </c>
      <c r="AB87">
        <v>3</v>
      </c>
      <c r="AC87">
        <v>4</v>
      </c>
      <c r="AD87">
        <v>1</v>
      </c>
      <c r="AE87">
        <v>2</v>
      </c>
      <c r="AF87">
        <v>3</v>
      </c>
      <c r="AG87">
        <v>4</v>
      </c>
      <c r="AH87">
        <v>1</v>
      </c>
      <c r="AI87">
        <v>2</v>
      </c>
      <c r="AJ87">
        <v>3</v>
      </c>
      <c r="AK87">
        <v>4</v>
      </c>
      <c r="AL87">
        <v>1</v>
      </c>
      <c r="AM87">
        <v>2</v>
      </c>
      <c r="AN87">
        <v>3</v>
      </c>
      <c r="AO87">
        <v>4</v>
      </c>
    </row>
    <row r="88" spans="2:41">
      <c r="B88" s="79">
        <v>10.775</v>
      </c>
      <c r="C88" s="79">
        <v>11.119800000000001</v>
      </c>
      <c r="D88" s="79">
        <v>11.464600000000001</v>
      </c>
      <c r="E88" s="79">
        <v>11.809400000000002</v>
      </c>
      <c r="F88" s="79">
        <v>12.761910000000002</v>
      </c>
      <c r="G88" s="79">
        <v>13.21</v>
      </c>
      <c r="H88" s="79">
        <v>13.485990000000003</v>
      </c>
      <c r="I88" s="79">
        <v>13.848030000000003</v>
      </c>
      <c r="J88" s="79">
        <v>14.920573500000005</v>
      </c>
      <c r="K88" s="79">
        <v>15.300715500000004</v>
      </c>
      <c r="L88" s="79">
        <v>15.680857500000005</v>
      </c>
      <c r="M88" s="79">
        <v>16.060999500000005</v>
      </c>
      <c r="N88" s="79">
        <v>17.263198575000008</v>
      </c>
      <c r="O88" s="79">
        <v>17.66234767500001</v>
      </c>
      <c r="P88" s="79">
        <v>18.061496775000009</v>
      </c>
      <c r="Q88" s="79">
        <v>18.460645875000008</v>
      </c>
      <c r="R88" s="79">
        <v>19.802784723750012</v>
      </c>
      <c r="S88" s="79">
        <v>20.221891278750011</v>
      </c>
      <c r="T88" s="79">
        <v>20.640997833750014</v>
      </c>
      <c r="U88" s="79">
        <v>21.060104388750013</v>
      </c>
      <c r="V88" s="80">
        <f>U88*100.2%</f>
        <v>21.102224597527513</v>
      </c>
      <c r="W88" s="80">
        <f t="shared" ref="W88:Y88" si="32">V88*100.2%</f>
        <v>21.144429046722568</v>
      </c>
      <c r="X88" s="80">
        <f t="shared" si="32"/>
        <v>21.186717904816014</v>
      </c>
      <c r="Y88" s="80">
        <f t="shared" si="32"/>
        <v>21.229091340625647</v>
      </c>
      <c r="Z88" s="80">
        <f>Y88*100.4%</f>
        <v>21.31400770598815</v>
      </c>
      <c r="AA88" s="80">
        <f t="shared" ref="AA88:AC88" si="33">Z88*100.4%</f>
        <v>21.399263736812102</v>
      </c>
      <c r="AB88" s="80">
        <f t="shared" si="33"/>
        <v>21.484860791759353</v>
      </c>
      <c r="AC88" s="80">
        <f t="shared" si="33"/>
        <v>21.570800234926391</v>
      </c>
      <c r="AD88" s="80">
        <f>AC88*100.6%</f>
        <v>21.700225036335951</v>
      </c>
      <c r="AE88" s="80">
        <f t="shared" ref="AE88:AG88" si="34">AD88*100.6%</f>
        <v>21.830426386553967</v>
      </c>
      <c r="AF88" s="80">
        <f t="shared" si="34"/>
        <v>21.961408944873291</v>
      </c>
      <c r="AG88" s="80">
        <f t="shared" si="34"/>
        <v>22.093177398542529</v>
      </c>
      <c r="AH88" s="80">
        <f>AG88*100.74%</f>
        <v>22.256666911291742</v>
      </c>
      <c r="AI88" s="80">
        <f t="shared" ref="AI88:AK88" si="35">AH88*100.74%</f>
        <v>22.421366246435298</v>
      </c>
      <c r="AJ88" s="80">
        <f t="shared" si="35"/>
        <v>22.587284356658916</v>
      </c>
      <c r="AK88" s="80">
        <f t="shared" si="35"/>
        <v>22.754430260898189</v>
      </c>
      <c r="AL88" s="80">
        <f>AK88*100.81%</f>
        <v>22.938741146011466</v>
      </c>
      <c r="AM88" s="80">
        <f t="shared" ref="AM88" si="36">AL88*100.81%</f>
        <v>23.124544949294158</v>
      </c>
      <c r="AN88" s="80">
        <f>AM88*100.51%</f>
        <v>23.242480128535561</v>
      </c>
      <c r="AO88" s="80">
        <f>AN88*100.51%</f>
        <v>23.361016777191097</v>
      </c>
    </row>
    <row r="89" spans="2:41">
      <c r="B89" s="79">
        <v>12.05</v>
      </c>
      <c r="C89" s="79">
        <v>12.435600000000001</v>
      </c>
      <c r="D89" s="79">
        <v>12.821200000000001</v>
      </c>
      <c r="E89" s="79">
        <v>13.206800000000001</v>
      </c>
      <c r="F89" s="79">
        <v>14.272020000000003</v>
      </c>
      <c r="G89" s="79">
        <v>14.676900000000003</v>
      </c>
      <c r="H89" s="79">
        <v>15.081780000000004</v>
      </c>
      <c r="I89" s="79">
        <v>15.486660000000004</v>
      </c>
      <c r="J89" s="79">
        <v>16.686117000000007</v>
      </c>
      <c r="K89" s="79">
        <v>17.111241000000007</v>
      </c>
      <c r="L89" s="79">
        <v>17.536365000000007</v>
      </c>
      <c r="M89" s="79">
        <v>17.961489000000007</v>
      </c>
      <c r="N89" s="79">
        <v>19.30594365000001</v>
      </c>
      <c r="O89" s="79">
        <v>19.75232385000001</v>
      </c>
      <c r="P89" s="79">
        <v>20.198704050000011</v>
      </c>
      <c r="Q89" s="79">
        <v>20.645084250000011</v>
      </c>
      <c r="R89" s="79">
        <v>21.6</v>
      </c>
      <c r="S89" s="79">
        <v>21.6</v>
      </c>
      <c r="T89" s="79">
        <v>21.6</v>
      </c>
      <c r="U89" s="79">
        <v>21.6</v>
      </c>
      <c r="V89" s="80">
        <f t="shared" ref="V89:Y104" si="37">U89*100.2%</f>
        <v>21.6432</v>
      </c>
      <c r="W89" s="80">
        <f t="shared" si="37"/>
        <v>21.6864864</v>
      </c>
      <c r="X89" s="80">
        <f t="shared" si="37"/>
        <v>21.7298593728</v>
      </c>
      <c r="Y89" s="80">
        <f t="shared" si="37"/>
        <v>21.773319091545599</v>
      </c>
      <c r="Z89" s="80">
        <f t="shared" ref="Z89:AC104" si="38">Y89*100.4%</f>
        <v>21.860412367911781</v>
      </c>
      <c r="AA89" s="80">
        <f t="shared" si="38"/>
        <v>21.947854017383428</v>
      </c>
      <c r="AB89" s="80">
        <f t="shared" si="38"/>
        <v>22.035645433452963</v>
      </c>
      <c r="AC89" s="80">
        <f t="shared" si="38"/>
        <v>22.123788015186776</v>
      </c>
      <c r="AD89" s="80">
        <f t="shared" ref="AD89:AG104" si="39">AC89*100.6%</f>
        <v>22.256530743277896</v>
      </c>
      <c r="AE89" s="80">
        <f t="shared" si="39"/>
        <v>22.390069927737564</v>
      </c>
      <c r="AF89" s="80">
        <f t="shared" si="39"/>
        <v>22.524410347303988</v>
      </c>
      <c r="AG89" s="80">
        <f t="shared" si="39"/>
        <v>22.659556809387812</v>
      </c>
      <c r="AH89" s="80">
        <f t="shared" ref="AH89:AK104" si="40">AG89*100.74%</f>
        <v>22.827237529777278</v>
      </c>
      <c r="AI89" s="80">
        <f t="shared" si="40"/>
        <v>22.996159087497627</v>
      </c>
      <c r="AJ89" s="80">
        <f t="shared" si="40"/>
        <v>23.166330664745107</v>
      </c>
      <c r="AK89" s="80">
        <f t="shared" si="40"/>
        <v>23.337761511664219</v>
      </c>
      <c r="AL89" s="80">
        <f t="shared" ref="AL89:AM104" si="41">AK89*100.81%</f>
        <v>23.5267973799087</v>
      </c>
      <c r="AM89" s="80">
        <f t="shared" si="41"/>
        <v>23.717364438685962</v>
      </c>
      <c r="AN89" s="80">
        <f t="shared" ref="AN89:AO104" si="42">AM89*100.51%</f>
        <v>23.838322997323264</v>
      </c>
      <c r="AO89" s="80">
        <f t="shared" si="42"/>
        <v>23.959898444609614</v>
      </c>
    </row>
    <row r="90" spans="2:41">
      <c r="B90" s="79">
        <v>11.3</v>
      </c>
      <c r="C90" s="79">
        <v>11.661600000000002</v>
      </c>
      <c r="D90" s="79">
        <v>12.023200000000001</v>
      </c>
      <c r="E90" s="79">
        <v>12.384800000000002</v>
      </c>
      <c r="F90" s="79">
        <v>13.383720000000004</v>
      </c>
      <c r="G90" s="79">
        <v>13.763400000000004</v>
      </c>
      <c r="H90" s="79">
        <v>14.143080000000005</v>
      </c>
      <c r="I90" s="79">
        <v>14.522760000000005</v>
      </c>
      <c r="J90" s="79">
        <v>15.647562000000006</v>
      </c>
      <c r="K90" s="79">
        <v>16.046226000000008</v>
      </c>
      <c r="L90" s="79">
        <v>16.444890000000008</v>
      </c>
      <c r="M90" s="79">
        <v>16.843554000000008</v>
      </c>
      <c r="N90" s="79">
        <v>18.104328900000009</v>
      </c>
      <c r="O90" s="79">
        <v>18.52292610000001</v>
      </c>
      <c r="P90" s="79">
        <v>18.941523300000011</v>
      </c>
      <c r="Q90" s="79">
        <v>19.360120500000011</v>
      </c>
      <c r="R90" s="79">
        <v>20.767653585000012</v>
      </c>
      <c r="S90" s="79">
        <v>21.207180645000012</v>
      </c>
      <c r="T90" s="79">
        <v>21.6</v>
      </c>
      <c r="U90" s="79">
        <v>21.6</v>
      </c>
      <c r="V90" s="80">
        <f t="shared" si="37"/>
        <v>21.6432</v>
      </c>
      <c r="W90" s="80">
        <f t="shared" si="37"/>
        <v>21.6864864</v>
      </c>
      <c r="X90" s="80">
        <f t="shared" si="37"/>
        <v>21.7298593728</v>
      </c>
      <c r="Y90" s="80">
        <f t="shared" si="37"/>
        <v>21.773319091545599</v>
      </c>
      <c r="Z90" s="80">
        <f t="shared" si="38"/>
        <v>21.860412367911781</v>
      </c>
      <c r="AA90" s="80">
        <f t="shared" si="38"/>
        <v>21.947854017383428</v>
      </c>
      <c r="AB90" s="80">
        <f t="shared" si="38"/>
        <v>22.035645433452963</v>
      </c>
      <c r="AC90" s="80">
        <f t="shared" si="38"/>
        <v>22.123788015186776</v>
      </c>
      <c r="AD90" s="80">
        <f t="shared" si="39"/>
        <v>22.256530743277896</v>
      </c>
      <c r="AE90" s="80">
        <f t="shared" si="39"/>
        <v>22.390069927737564</v>
      </c>
      <c r="AF90" s="80">
        <f t="shared" si="39"/>
        <v>22.524410347303988</v>
      </c>
      <c r="AG90" s="80">
        <f t="shared" si="39"/>
        <v>22.659556809387812</v>
      </c>
      <c r="AH90" s="80">
        <f t="shared" si="40"/>
        <v>22.827237529777278</v>
      </c>
      <c r="AI90" s="80">
        <f t="shared" si="40"/>
        <v>22.996159087497627</v>
      </c>
      <c r="AJ90" s="80">
        <f t="shared" si="40"/>
        <v>23.166330664745107</v>
      </c>
      <c r="AK90" s="80">
        <f t="shared" si="40"/>
        <v>23.337761511664219</v>
      </c>
      <c r="AL90" s="80">
        <f t="shared" si="41"/>
        <v>23.5267973799087</v>
      </c>
      <c r="AM90" s="80">
        <f t="shared" si="41"/>
        <v>23.717364438685962</v>
      </c>
      <c r="AN90" s="80">
        <f t="shared" si="42"/>
        <v>23.838322997323264</v>
      </c>
      <c r="AO90" s="80">
        <f t="shared" si="42"/>
        <v>23.959898444609614</v>
      </c>
    </row>
    <row r="91" spans="2:41">
      <c r="B91" s="79">
        <v>6.7649999999999997</v>
      </c>
      <c r="C91" s="79">
        <v>7.1257999999999999</v>
      </c>
      <c r="D91" s="79">
        <v>7.486600000000001</v>
      </c>
      <c r="E91" s="79">
        <v>7.8474000000000013</v>
      </c>
      <c r="F91" s="79">
        <v>8.6186100000000021</v>
      </c>
      <c r="G91" s="79">
        <v>8.9974500000000024</v>
      </c>
      <c r="H91" s="79">
        <v>9.3762900000000027</v>
      </c>
      <c r="I91" s="79">
        <v>9.755130000000003</v>
      </c>
      <c r="J91" s="79">
        <v>10.640668500000004</v>
      </c>
      <c r="K91" s="79">
        <v>11.038450500000003</v>
      </c>
      <c r="L91" s="79">
        <v>11.436232500000004</v>
      </c>
      <c r="M91" s="79">
        <v>11.834014500000006</v>
      </c>
      <c r="N91" s="79">
        <v>12.843386325000006</v>
      </c>
      <c r="O91" s="79">
        <v>13.261057425000006</v>
      </c>
      <c r="P91" s="79">
        <v>13.678728525000006</v>
      </c>
      <c r="Q91" s="79">
        <v>14.096399625000007</v>
      </c>
      <c r="R91" s="79">
        <v>15.239774261250007</v>
      </c>
      <c r="S91" s="79">
        <v>15.678328916250008</v>
      </c>
      <c r="T91" s="79">
        <v>16.116883571250007</v>
      </c>
      <c r="U91" s="79">
        <v>16.116883571250007</v>
      </c>
      <c r="V91" s="80">
        <f t="shared" si="37"/>
        <v>16.149117338392507</v>
      </c>
      <c r="W91" s="80">
        <f t="shared" si="37"/>
        <v>16.181415573069291</v>
      </c>
      <c r="X91" s="80">
        <f t="shared" si="37"/>
        <v>16.213778404215429</v>
      </c>
      <c r="Y91" s="80">
        <f t="shared" si="37"/>
        <v>16.246205961023861</v>
      </c>
      <c r="Z91" s="80">
        <f t="shared" si="38"/>
        <v>16.311190784867957</v>
      </c>
      <c r="AA91" s="80">
        <f t="shared" si="38"/>
        <v>16.376435548007429</v>
      </c>
      <c r="AB91" s="80">
        <f t="shared" si="38"/>
        <v>16.441941290199459</v>
      </c>
      <c r="AC91" s="80">
        <f t="shared" si="38"/>
        <v>16.507709055360255</v>
      </c>
      <c r="AD91" s="80">
        <f t="shared" si="39"/>
        <v>16.606755309692417</v>
      </c>
      <c r="AE91" s="80">
        <f t="shared" si="39"/>
        <v>16.70639584155057</v>
      </c>
      <c r="AF91" s="80">
        <f t="shared" si="39"/>
        <v>16.806634216599875</v>
      </c>
      <c r="AG91" s="80">
        <f t="shared" si="39"/>
        <v>16.907474021899475</v>
      </c>
      <c r="AH91" s="80">
        <f t="shared" si="40"/>
        <v>17.03258932966153</v>
      </c>
      <c r="AI91" s="80">
        <f t="shared" si="40"/>
        <v>17.158630490701022</v>
      </c>
      <c r="AJ91" s="80">
        <f t="shared" si="40"/>
        <v>17.285604356332207</v>
      </c>
      <c r="AK91" s="80">
        <f t="shared" si="40"/>
        <v>17.413517828569063</v>
      </c>
      <c r="AL91" s="80">
        <f t="shared" si="41"/>
        <v>17.554567322980471</v>
      </c>
      <c r="AM91" s="80">
        <f t="shared" si="41"/>
        <v>17.696759318296614</v>
      </c>
      <c r="AN91" s="80">
        <f t="shared" si="42"/>
        <v>17.787012790819929</v>
      </c>
      <c r="AO91" s="80">
        <f t="shared" si="42"/>
        <v>17.877726556053112</v>
      </c>
    </row>
    <row r="92" spans="2:41">
      <c r="B92" s="79">
        <v>6.68</v>
      </c>
      <c r="C92" s="79">
        <v>6.9472000000000005</v>
      </c>
      <c r="D92" s="79">
        <v>7.2144000000000004</v>
      </c>
      <c r="E92" s="79">
        <v>7.4816000000000011</v>
      </c>
      <c r="F92" s="79">
        <v>8.1362400000000008</v>
      </c>
      <c r="G92" s="79">
        <v>8.4168000000000021</v>
      </c>
      <c r="H92" s="79">
        <v>8.6973600000000015</v>
      </c>
      <c r="I92" s="79">
        <v>8.9779200000000028</v>
      </c>
      <c r="J92" s="79">
        <v>9.7214040000000033</v>
      </c>
      <c r="K92" s="79">
        <v>10.015992000000004</v>
      </c>
      <c r="L92" s="79">
        <v>10.310580000000003</v>
      </c>
      <c r="M92" s="79">
        <v>10.605168000000004</v>
      </c>
      <c r="N92" s="79">
        <v>11.444743800000005</v>
      </c>
      <c r="O92" s="79">
        <v>11.754061200000004</v>
      </c>
      <c r="P92" s="79">
        <v>12.063378600000005</v>
      </c>
      <c r="Q92" s="79">
        <v>12.372696000000005</v>
      </c>
      <c r="R92" s="79">
        <v>13.316114070000006</v>
      </c>
      <c r="S92" s="79">
        <v>13.640897340000006</v>
      </c>
      <c r="T92" s="79">
        <v>13.965680610000007</v>
      </c>
      <c r="U92" s="79">
        <v>14.290463880000006</v>
      </c>
      <c r="V92" s="80">
        <f t="shared" si="37"/>
        <v>14.319044807760006</v>
      </c>
      <c r="W92" s="80">
        <f t="shared" si="37"/>
        <v>14.347682897375526</v>
      </c>
      <c r="X92" s="80">
        <f t="shared" si="37"/>
        <v>14.376378263170277</v>
      </c>
      <c r="Y92" s="80">
        <f t="shared" si="37"/>
        <v>14.405131019696618</v>
      </c>
      <c r="Z92" s="80">
        <f t="shared" si="38"/>
        <v>14.462751543775404</v>
      </c>
      <c r="AA92" s="80">
        <f t="shared" si="38"/>
        <v>14.520602549950507</v>
      </c>
      <c r="AB92" s="80">
        <f t="shared" si="38"/>
        <v>14.578684960150309</v>
      </c>
      <c r="AC92" s="80">
        <f t="shared" si="38"/>
        <v>14.636999699990909</v>
      </c>
      <c r="AD92" s="80">
        <f t="shared" si="39"/>
        <v>14.724821698190855</v>
      </c>
      <c r="AE92" s="80">
        <f t="shared" si="39"/>
        <v>14.81317062838</v>
      </c>
      <c r="AF92" s="80">
        <f t="shared" si="39"/>
        <v>14.90204965215028</v>
      </c>
      <c r="AG92" s="80">
        <f t="shared" si="39"/>
        <v>14.991461950063183</v>
      </c>
      <c r="AH92" s="80">
        <f t="shared" si="40"/>
        <v>15.102398768493648</v>
      </c>
      <c r="AI92" s="80">
        <f t="shared" si="40"/>
        <v>15.214156519380499</v>
      </c>
      <c r="AJ92" s="80">
        <f t="shared" si="40"/>
        <v>15.326741277623912</v>
      </c>
      <c r="AK92" s="80">
        <f t="shared" si="40"/>
        <v>15.440159163078325</v>
      </c>
      <c r="AL92" s="80">
        <f t="shared" si="41"/>
        <v>15.56522445229926</v>
      </c>
      <c r="AM92" s="80">
        <f t="shared" si="41"/>
        <v>15.691302770362883</v>
      </c>
      <c r="AN92" s="80">
        <f t="shared" si="42"/>
        <v>15.771328414491736</v>
      </c>
      <c r="AO92" s="80">
        <f t="shared" si="42"/>
        <v>15.851762189405646</v>
      </c>
    </row>
    <row r="93" spans="2:41">
      <c r="B93" s="79">
        <v>11.055</v>
      </c>
      <c r="C93" s="79">
        <v>11.2158</v>
      </c>
      <c r="D93" s="79">
        <v>11.3766</v>
      </c>
      <c r="E93" s="79">
        <v>11.5374</v>
      </c>
      <c r="F93" s="79">
        <v>12.283110000000001</v>
      </c>
      <c r="G93" s="79">
        <v>12.451950000000002</v>
      </c>
      <c r="H93" s="79">
        <v>12.620790000000001</v>
      </c>
      <c r="I93" s="79">
        <v>12.789630000000002</v>
      </c>
      <c r="J93" s="79">
        <v>13.606393500000003</v>
      </c>
      <c r="K93" s="79">
        <v>13.783675500000003</v>
      </c>
      <c r="L93" s="79">
        <v>13.960957500000003</v>
      </c>
      <c r="M93" s="79">
        <v>14.138239500000003</v>
      </c>
      <c r="N93" s="79">
        <v>15.031297575000004</v>
      </c>
      <c r="O93" s="79">
        <v>15.217443675000004</v>
      </c>
      <c r="P93" s="79">
        <v>15.403589775000004</v>
      </c>
      <c r="Q93" s="79">
        <v>15.589735875000004</v>
      </c>
      <c r="R93" s="79">
        <v>16.564676073750007</v>
      </c>
      <c r="S93" s="79">
        <v>16.760129478750006</v>
      </c>
      <c r="T93" s="79">
        <v>16.955582883750008</v>
      </c>
      <c r="U93" s="79">
        <v>17.151036288750007</v>
      </c>
      <c r="V93" s="80">
        <f t="shared" si="37"/>
        <v>17.185338361327506</v>
      </c>
      <c r="W93" s="80">
        <f t="shared" si="37"/>
        <v>17.219709038050162</v>
      </c>
      <c r="X93" s="80">
        <f t="shared" si="37"/>
        <v>17.254148456126263</v>
      </c>
      <c r="Y93" s="80">
        <f t="shared" si="37"/>
        <v>17.288656753038516</v>
      </c>
      <c r="Z93" s="80">
        <f t="shared" si="38"/>
        <v>17.35781138005067</v>
      </c>
      <c r="AA93" s="80">
        <f t="shared" si="38"/>
        <v>17.427242625570873</v>
      </c>
      <c r="AB93" s="80">
        <f t="shared" si="38"/>
        <v>17.496951596073156</v>
      </c>
      <c r="AC93" s="80">
        <f t="shared" si="38"/>
        <v>17.56693940245745</v>
      </c>
      <c r="AD93" s="80">
        <f t="shared" si="39"/>
        <v>17.672341038872194</v>
      </c>
      <c r="AE93" s="80">
        <f t="shared" si="39"/>
        <v>17.778375085105427</v>
      </c>
      <c r="AF93" s="80">
        <f t="shared" si="39"/>
        <v>17.885045335616059</v>
      </c>
      <c r="AG93" s="80">
        <f t="shared" si="39"/>
        <v>17.992355607629754</v>
      </c>
      <c r="AH93" s="80">
        <f t="shared" si="40"/>
        <v>18.125499039126211</v>
      </c>
      <c r="AI93" s="80">
        <f t="shared" si="40"/>
        <v>18.259627732015744</v>
      </c>
      <c r="AJ93" s="80">
        <f t="shared" si="40"/>
        <v>18.394748977232659</v>
      </c>
      <c r="AK93" s="80">
        <f t="shared" si="40"/>
        <v>18.530870119664179</v>
      </c>
      <c r="AL93" s="80">
        <f t="shared" si="41"/>
        <v>18.680970167633458</v>
      </c>
      <c r="AM93" s="80">
        <f t="shared" si="41"/>
        <v>18.832286025991287</v>
      </c>
      <c r="AN93" s="80">
        <f t="shared" si="42"/>
        <v>18.928330684723846</v>
      </c>
      <c r="AO93" s="80">
        <f t="shared" si="42"/>
        <v>19.024865171215939</v>
      </c>
    </row>
    <row r="94" spans="2:41">
      <c r="B94" s="79">
        <v>4.7050000000000001</v>
      </c>
      <c r="C94" s="79">
        <v>4.7802800000000003</v>
      </c>
      <c r="D94" s="79">
        <v>4.8555600000000005</v>
      </c>
      <c r="E94" s="79">
        <v>4.9308399999999999</v>
      </c>
      <c r="F94" s="79">
        <v>5.2564260000000012</v>
      </c>
      <c r="G94" s="79">
        <v>5.3354700000000008</v>
      </c>
      <c r="H94" s="79">
        <v>5.4145140000000014</v>
      </c>
      <c r="I94" s="79">
        <v>5.4935580000000011</v>
      </c>
      <c r="J94" s="79">
        <v>5.8512321000000016</v>
      </c>
      <c r="K94" s="79">
        <v>5.9342283000000018</v>
      </c>
      <c r="L94" s="79">
        <v>6.017224500000002</v>
      </c>
      <c r="M94" s="79">
        <v>6.1002207000000022</v>
      </c>
      <c r="N94" s="79">
        <v>6.4923777450000024</v>
      </c>
      <c r="O94" s="79">
        <v>6.5795237550000021</v>
      </c>
      <c r="P94" s="79">
        <v>6.6666697650000026</v>
      </c>
      <c r="Q94" s="79">
        <v>6.7538157750000023</v>
      </c>
      <c r="R94" s="79">
        <v>7.1830098742500033</v>
      </c>
      <c r="S94" s="79">
        <v>7.2745131847500035</v>
      </c>
      <c r="T94" s="79">
        <v>7.3660164952500038</v>
      </c>
      <c r="U94" s="79">
        <v>7.4575198057500041</v>
      </c>
      <c r="V94" s="80">
        <f t="shared" si="37"/>
        <v>7.4724348453615042</v>
      </c>
      <c r="W94" s="80">
        <f t="shared" si="37"/>
        <v>7.487379715052227</v>
      </c>
      <c r="X94" s="80">
        <f t="shared" si="37"/>
        <v>7.5023544744823312</v>
      </c>
      <c r="Y94" s="80">
        <f t="shared" si="37"/>
        <v>7.5173591834312958</v>
      </c>
      <c r="Z94" s="80">
        <f t="shared" si="38"/>
        <v>7.5474286201650207</v>
      </c>
      <c r="AA94" s="80">
        <f t="shared" si="38"/>
        <v>7.5776183346456811</v>
      </c>
      <c r="AB94" s="80">
        <f t="shared" si="38"/>
        <v>7.6079288079842637</v>
      </c>
      <c r="AC94" s="80">
        <f t="shared" si="38"/>
        <v>7.6383605232162006</v>
      </c>
      <c r="AD94" s="80">
        <f t="shared" si="39"/>
        <v>7.6841906863554978</v>
      </c>
      <c r="AE94" s="80">
        <f t="shared" si="39"/>
        <v>7.7302958304736311</v>
      </c>
      <c r="AF94" s="80">
        <f t="shared" si="39"/>
        <v>7.7766776054564728</v>
      </c>
      <c r="AG94" s="80">
        <f t="shared" si="39"/>
        <v>7.8233376710892113</v>
      </c>
      <c r="AH94" s="80">
        <f t="shared" si="40"/>
        <v>7.8812303698552704</v>
      </c>
      <c r="AI94" s="80">
        <f t="shared" si="40"/>
        <v>7.9395514745921982</v>
      </c>
      <c r="AJ94" s="80">
        <f t="shared" si="40"/>
        <v>7.9983041555041794</v>
      </c>
      <c r="AK94" s="80">
        <f t="shared" si="40"/>
        <v>8.05749160625491</v>
      </c>
      <c r="AL94" s="80">
        <f t="shared" si="41"/>
        <v>8.122757288265575</v>
      </c>
      <c r="AM94" s="80">
        <f t="shared" si="41"/>
        <v>8.1885516223005261</v>
      </c>
      <c r="AN94" s="80">
        <f t="shared" si="42"/>
        <v>8.2303132355742594</v>
      </c>
      <c r="AO94" s="80">
        <f t="shared" si="42"/>
        <v>8.2722878330756888</v>
      </c>
    </row>
    <row r="95" spans="2:41">
      <c r="B95" s="79">
        <v>14.2</v>
      </c>
      <c r="C95" s="79">
        <v>14.427199999999999</v>
      </c>
      <c r="D95" s="79">
        <v>14.654399999999999</v>
      </c>
      <c r="E95" s="79">
        <v>14.881600000000001</v>
      </c>
      <c r="F95" s="79">
        <v>15.864240000000001</v>
      </c>
      <c r="G95" s="79">
        <v>16.102800000000002</v>
      </c>
      <c r="H95" s="79">
        <v>16.341360000000002</v>
      </c>
      <c r="I95" s="79">
        <v>16.579920000000001</v>
      </c>
      <c r="J95" s="79">
        <v>17.659404000000002</v>
      </c>
      <c r="K95" s="79">
        <v>17.909892000000003</v>
      </c>
      <c r="L95" s="79">
        <v>18.160380000000004</v>
      </c>
      <c r="M95" s="79">
        <v>18.410868000000001</v>
      </c>
      <c r="N95" s="79">
        <v>19.594423800000005</v>
      </c>
      <c r="O95" s="79">
        <v>19.857436200000006</v>
      </c>
      <c r="P95" s="79">
        <v>20.120448600000003</v>
      </c>
      <c r="Q95" s="79">
        <v>20.383461000000004</v>
      </c>
      <c r="R95" s="79">
        <v>21.6</v>
      </c>
      <c r="S95" s="79">
        <v>21.6</v>
      </c>
      <c r="T95" s="79">
        <v>21.6</v>
      </c>
      <c r="U95" s="79">
        <v>21.6</v>
      </c>
      <c r="V95" s="80">
        <f t="shared" si="37"/>
        <v>21.6432</v>
      </c>
      <c r="W95" s="80">
        <f t="shared" si="37"/>
        <v>21.6864864</v>
      </c>
      <c r="X95" s="80">
        <f t="shared" si="37"/>
        <v>21.7298593728</v>
      </c>
      <c r="Y95" s="80">
        <f t="shared" si="37"/>
        <v>21.773319091545599</v>
      </c>
      <c r="Z95" s="80">
        <f t="shared" si="38"/>
        <v>21.860412367911781</v>
      </c>
      <c r="AA95" s="80">
        <f t="shared" si="38"/>
        <v>21.947854017383428</v>
      </c>
      <c r="AB95" s="80">
        <f t="shared" si="38"/>
        <v>22.035645433452963</v>
      </c>
      <c r="AC95" s="80">
        <f t="shared" si="38"/>
        <v>22.123788015186776</v>
      </c>
      <c r="AD95" s="80">
        <f t="shared" si="39"/>
        <v>22.256530743277896</v>
      </c>
      <c r="AE95" s="80">
        <f t="shared" si="39"/>
        <v>22.390069927737564</v>
      </c>
      <c r="AF95" s="80">
        <f t="shared" si="39"/>
        <v>22.524410347303988</v>
      </c>
      <c r="AG95" s="80">
        <f t="shared" si="39"/>
        <v>22.659556809387812</v>
      </c>
      <c r="AH95" s="80">
        <f t="shared" si="40"/>
        <v>22.827237529777278</v>
      </c>
      <c r="AI95" s="80">
        <f t="shared" si="40"/>
        <v>22.996159087497627</v>
      </c>
      <c r="AJ95" s="80">
        <f t="shared" si="40"/>
        <v>23.166330664745107</v>
      </c>
      <c r="AK95" s="80">
        <f t="shared" si="40"/>
        <v>23.337761511664219</v>
      </c>
      <c r="AL95" s="80">
        <f t="shared" si="41"/>
        <v>23.5267973799087</v>
      </c>
      <c r="AM95" s="80">
        <f t="shared" si="41"/>
        <v>23.717364438685962</v>
      </c>
      <c r="AN95" s="80">
        <f t="shared" si="42"/>
        <v>23.838322997323264</v>
      </c>
      <c r="AO95" s="80">
        <f t="shared" si="42"/>
        <v>23.959898444609614</v>
      </c>
    </row>
    <row r="96" spans="2:41">
      <c r="B96" s="79">
        <v>6.0749999999999993</v>
      </c>
      <c r="C96" s="79">
        <v>6.1829999999999998</v>
      </c>
      <c r="D96" s="79">
        <v>6.2909999999999995</v>
      </c>
      <c r="E96" s="79">
        <v>6.399</v>
      </c>
      <c r="F96" s="79">
        <v>6.8323499999999999</v>
      </c>
      <c r="G96" s="79">
        <v>6.9457500000000003</v>
      </c>
      <c r="H96" s="79">
        <v>7.0591500000000007</v>
      </c>
      <c r="I96" s="79">
        <v>7.1725500000000002</v>
      </c>
      <c r="J96" s="79">
        <v>7.6502475000000008</v>
      </c>
      <c r="K96" s="79">
        <v>7.7693175000000005</v>
      </c>
      <c r="L96" s="79">
        <v>7.8883875000000012</v>
      </c>
      <c r="M96" s="79">
        <v>8.007457500000001</v>
      </c>
      <c r="N96" s="79">
        <v>8.5328538750000007</v>
      </c>
      <c r="O96" s="79">
        <v>8.6578773750000018</v>
      </c>
      <c r="P96" s="79">
        <v>8.7829008750000011</v>
      </c>
      <c r="Q96" s="79">
        <v>8.9079243750000021</v>
      </c>
      <c r="R96" s="79">
        <v>9.4845952687500041</v>
      </c>
      <c r="S96" s="79">
        <v>9.6158699437500044</v>
      </c>
      <c r="T96" s="79">
        <v>9.7471446187500028</v>
      </c>
      <c r="U96" s="79">
        <v>9.878419293750003</v>
      </c>
      <c r="V96" s="80">
        <f t="shared" si="37"/>
        <v>9.8981761323375039</v>
      </c>
      <c r="W96" s="80">
        <f t="shared" si="37"/>
        <v>9.9179724846021795</v>
      </c>
      <c r="X96" s="80">
        <f t="shared" si="37"/>
        <v>9.9378084295713833</v>
      </c>
      <c r="Y96" s="80">
        <f t="shared" si="37"/>
        <v>9.9576840464305256</v>
      </c>
      <c r="Z96" s="80">
        <f t="shared" si="38"/>
        <v>9.997514782616248</v>
      </c>
      <c r="AA96" s="80">
        <f t="shared" si="38"/>
        <v>10.037504841746713</v>
      </c>
      <c r="AB96" s="80">
        <f t="shared" si="38"/>
        <v>10.0776548611137</v>
      </c>
      <c r="AC96" s="80">
        <f t="shared" si="38"/>
        <v>10.117965480558155</v>
      </c>
      <c r="AD96" s="80">
        <f t="shared" si="39"/>
        <v>10.178673273441504</v>
      </c>
      <c r="AE96" s="80">
        <f t="shared" si="39"/>
        <v>10.239745313082153</v>
      </c>
      <c r="AF96" s="80">
        <f t="shared" si="39"/>
        <v>10.301183784960646</v>
      </c>
      <c r="AG96" s="80">
        <f t="shared" si="39"/>
        <v>10.36299088767041</v>
      </c>
      <c r="AH96" s="80">
        <f t="shared" si="40"/>
        <v>10.43967702023917</v>
      </c>
      <c r="AI96" s="80">
        <f t="shared" si="40"/>
        <v>10.516930630188938</v>
      </c>
      <c r="AJ96" s="80">
        <f t="shared" si="40"/>
        <v>10.594755916852334</v>
      </c>
      <c r="AK96" s="80">
        <f t="shared" si="40"/>
        <v>10.673157110637039</v>
      </c>
      <c r="AL96" s="80">
        <f t="shared" si="41"/>
        <v>10.759609683233199</v>
      </c>
      <c r="AM96" s="80">
        <f t="shared" si="41"/>
        <v>10.846762521667388</v>
      </c>
      <c r="AN96" s="80">
        <f t="shared" si="42"/>
        <v>10.902081010527894</v>
      </c>
      <c r="AO96" s="80">
        <f t="shared" si="42"/>
        <v>10.957681623681587</v>
      </c>
    </row>
    <row r="97" spans="2:41">
      <c r="B97" s="81">
        <v>0</v>
      </c>
      <c r="C97" s="81">
        <v>0</v>
      </c>
      <c r="D97" s="81">
        <v>0</v>
      </c>
      <c r="E97" s="81">
        <v>0</v>
      </c>
      <c r="F97" s="81">
        <v>0</v>
      </c>
      <c r="G97" s="81">
        <v>0</v>
      </c>
      <c r="H97" s="81">
        <v>0</v>
      </c>
      <c r="I97" s="81">
        <v>0</v>
      </c>
      <c r="J97" s="79">
        <v>11.952834402137844</v>
      </c>
      <c r="K97" s="79">
        <v>12.126693811623484</v>
      </c>
      <c r="L97" s="79">
        <v>12.300553221109126</v>
      </c>
      <c r="M97" s="79">
        <v>12.474412630594768</v>
      </c>
      <c r="N97" s="79">
        <v>13.28068564208443</v>
      </c>
      <c r="O97" s="79">
        <v>13.463238022044354</v>
      </c>
      <c r="P97" s="79">
        <v>13.645790402004279</v>
      </c>
      <c r="Q97" s="79">
        <v>13.828342781964201</v>
      </c>
      <c r="R97" s="79">
        <v>14.711439920020332</v>
      </c>
      <c r="S97" s="79">
        <v>14.903119918978252</v>
      </c>
      <c r="T97" s="79">
        <v>15.094799917936173</v>
      </c>
      <c r="U97" s="79">
        <v>15.286479916894093</v>
      </c>
      <c r="V97" s="80">
        <f t="shared" si="37"/>
        <v>15.317052876727882</v>
      </c>
      <c r="W97" s="80">
        <f t="shared" si="37"/>
        <v>15.347686982481337</v>
      </c>
      <c r="X97" s="80">
        <f t="shared" si="37"/>
        <v>15.3783823564463</v>
      </c>
      <c r="Y97" s="80">
        <f t="shared" si="37"/>
        <v>15.409139121159193</v>
      </c>
      <c r="Z97" s="80">
        <f t="shared" si="38"/>
        <v>15.470775677643829</v>
      </c>
      <c r="AA97" s="80">
        <f t="shared" si="38"/>
        <v>15.532658780354405</v>
      </c>
      <c r="AB97" s="80">
        <f t="shared" si="38"/>
        <v>15.594789415475823</v>
      </c>
      <c r="AC97" s="80">
        <f t="shared" si="38"/>
        <v>15.657168573137726</v>
      </c>
      <c r="AD97" s="80">
        <f t="shared" si="39"/>
        <v>15.751111584576552</v>
      </c>
      <c r="AE97" s="80">
        <f t="shared" si="39"/>
        <v>15.845618254084012</v>
      </c>
      <c r="AF97" s="80">
        <f t="shared" si="39"/>
        <v>15.940691963608517</v>
      </c>
      <c r="AG97" s="80">
        <f t="shared" si="39"/>
        <v>16.036336115390167</v>
      </c>
      <c r="AH97" s="80">
        <f t="shared" si="40"/>
        <v>16.155005002644053</v>
      </c>
      <c r="AI97" s="80">
        <f t="shared" si="40"/>
        <v>16.274552039663618</v>
      </c>
      <c r="AJ97" s="80">
        <f t="shared" si="40"/>
        <v>16.394983724757125</v>
      </c>
      <c r="AK97" s="80">
        <f t="shared" si="40"/>
        <v>16.516306604320327</v>
      </c>
      <c r="AL97" s="80">
        <f t="shared" si="41"/>
        <v>16.650088687815323</v>
      </c>
      <c r="AM97" s="80">
        <f t="shared" si="41"/>
        <v>16.784954406186628</v>
      </c>
      <c r="AN97" s="80">
        <f t="shared" si="42"/>
        <v>16.870557673658183</v>
      </c>
      <c r="AO97" s="80">
        <f t="shared" si="42"/>
        <v>16.956597517793842</v>
      </c>
    </row>
    <row r="98" spans="2:41">
      <c r="B98" s="81">
        <v>0</v>
      </c>
      <c r="C98" s="81">
        <v>0</v>
      </c>
      <c r="D98" s="81">
        <v>0</v>
      </c>
      <c r="E98" s="81">
        <v>0</v>
      </c>
      <c r="F98" s="81">
        <v>0</v>
      </c>
      <c r="G98" s="81">
        <v>0</v>
      </c>
      <c r="H98" s="81">
        <v>0</v>
      </c>
      <c r="I98" s="81">
        <v>0</v>
      </c>
      <c r="J98" s="79">
        <v>10.489834359285103</v>
      </c>
      <c r="K98" s="79">
        <v>10.609718180534077</v>
      </c>
      <c r="L98" s="79">
        <v>10.729602001783048</v>
      </c>
      <c r="M98" s="79">
        <v>10.849485823032023</v>
      </c>
      <c r="N98" s="79">
        <v>11.517838126495047</v>
      </c>
      <c r="O98" s="79">
        <v>11.643716138806466</v>
      </c>
      <c r="P98" s="79">
        <v>11.769594151117889</v>
      </c>
      <c r="Q98" s="79">
        <v>11.895472163429309</v>
      </c>
      <c r="R98" s="79">
        <v>12.622417684527768</v>
      </c>
      <c r="S98" s="79">
        <v>12.754589597454762</v>
      </c>
      <c r="T98" s="79">
        <v>12.886761510381753</v>
      </c>
      <c r="U98" s="79">
        <v>13.018933423308745</v>
      </c>
      <c r="V98" s="80">
        <f t="shared" si="37"/>
        <v>13.044971290155363</v>
      </c>
      <c r="W98" s="80">
        <f t="shared" si="37"/>
        <v>13.071061232735675</v>
      </c>
      <c r="X98" s="80">
        <f t="shared" si="37"/>
        <v>13.097203355201145</v>
      </c>
      <c r="Y98" s="80">
        <f t="shared" si="37"/>
        <v>13.123397761911548</v>
      </c>
      <c r="Z98" s="80">
        <f t="shared" si="38"/>
        <v>13.175891352959194</v>
      </c>
      <c r="AA98" s="80">
        <f t="shared" si="38"/>
        <v>13.228594918371032</v>
      </c>
      <c r="AB98" s="80">
        <f t="shared" si="38"/>
        <v>13.281509298044517</v>
      </c>
      <c r="AC98" s="80">
        <f t="shared" si="38"/>
        <v>13.334635335236696</v>
      </c>
      <c r="AD98" s="80">
        <f t="shared" si="39"/>
        <v>13.414643147248116</v>
      </c>
      <c r="AE98" s="80">
        <f t="shared" si="39"/>
        <v>13.495131006131604</v>
      </c>
      <c r="AF98" s="80">
        <f t="shared" si="39"/>
        <v>13.576101792168394</v>
      </c>
      <c r="AG98" s="80">
        <f t="shared" si="39"/>
        <v>13.657558402921405</v>
      </c>
      <c r="AH98" s="80">
        <f t="shared" si="40"/>
        <v>13.75862433510302</v>
      </c>
      <c r="AI98" s="80">
        <f t="shared" si="40"/>
        <v>13.860438155182781</v>
      </c>
      <c r="AJ98" s="80">
        <f t="shared" si="40"/>
        <v>13.963005397531131</v>
      </c>
      <c r="AK98" s="80">
        <f t="shared" si="40"/>
        <v>14.066331637472858</v>
      </c>
      <c r="AL98" s="80">
        <f t="shared" si="41"/>
        <v>14.180268923736389</v>
      </c>
      <c r="AM98" s="80">
        <f t="shared" si="41"/>
        <v>14.295129102018654</v>
      </c>
      <c r="AN98" s="80">
        <f t="shared" si="42"/>
        <v>14.36803426043895</v>
      </c>
      <c r="AO98" s="80">
        <f t="shared" si="42"/>
        <v>14.44131123516719</v>
      </c>
    </row>
    <row r="99" spans="2:41">
      <c r="B99" s="81">
        <v>0</v>
      </c>
      <c r="C99" s="81">
        <v>0</v>
      </c>
      <c r="D99" s="81">
        <v>0</v>
      </c>
      <c r="E99" s="81">
        <v>0</v>
      </c>
      <c r="F99" s="81">
        <v>0</v>
      </c>
      <c r="G99" s="81">
        <v>0</v>
      </c>
      <c r="H99" s="81">
        <v>0</v>
      </c>
      <c r="I99" s="81">
        <v>0</v>
      </c>
      <c r="J99" s="79">
        <v>10.708944121887845</v>
      </c>
      <c r="K99" s="79">
        <v>10.831332054709421</v>
      </c>
      <c r="L99" s="79">
        <v>10.953719987530995</v>
      </c>
      <c r="M99" s="79">
        <v>11.07610792035257</v>
      </c>
      <c r="N99" s="79">
        <v>11.758420645832855</v>
      </c>
      <c r="O99" s="79">
        <v>11.886927975295508</v>
      </c>
      <c r="P99" s="79">
        <v>12.015435304758162</v>
      </c>
      <c r="Q99" s="79">
        <v>12.143942634220819</v>
      </c>
      <c r="R99" s="79">
        <v>12.886072461867645</v>
      </c>
      <c r="S99" s="79">
        <v>13.021005157803435</v>
      </c>
      <c r="T99" s="79">
        <v>13.155937853739221</v>
      </c>
      <c r="U99" s="79">
        <v>13.290870549675008</v>
      </c>
      <c r="V99" s="80">
        <f t="shared" si="37"/>
        <v>13.317452290774357</v>
      </c>
      <c r="W99" s="80">
        <f t="shared" si="37"/>
        <v>13.344087195355906</v>
      </c>
      <c r="X99" s="80">
        <f t="shared" si="37"/>
        <v>13.370775369746617</v>
      </c>
      <c r="Y99" s="80">
        <f t="shared" si="37"/>
        <v>13.39751692048611</v>
      </c>
      <c r="Z99" s="80">
        <f t="shared" si="38"/>
        <v>13.451106988168055</v>
      </c>
      <c r="AA99" s="80">
        <f t="shared" si="38"/>
        <v>13.504911416120727</v>
      </c>
      <c r="AB99" s="80">
        <f t="shared" si="38"/>
        <v>13.558931061785209</v>
      </c>
      <c r="AC99" s="80">
        <f t="shared" si="38"/>
        <v>13.61316678603235</v>
      </c>
      <c r="AD99" s="80">
        <f t="shared" si="39"/>
        <v>13.694845786748544</v>
      </c>
      <c r="AE99" s="80">
        <f t="shared" si="39"/>
        <v>13.777014861469036</v>
      </c>
      <c r="AF99" s="80">
        <f t="shared" si="39"/>
        <v>13.85967695063785</v>
      </c>
      <c r="AG99" s="80">
        <f t="shared" si="39"/>
        <v>13.942835012341677</v>
      </c>
      <c r="AH99" s="80">
        <f t="shared" si="40"/>
        <v>14.046011991433003</v>
      </c>
      <c r="AI99" s="80">
        <f t="shared" si="40"/>
        <v>14.149952480169606</v>
      </c>
      <c r="AJ99" s="80">
        <f t="shared" si="40"/>
        <v>14.25466212852286</v>
      </c>
      <c r="AK99" s="80">
        <f t="shared" si="40"/>
        <v>14.360146628273927</v>
      </c>
      <c r="AL99" s="80">
        <f t="shared" si="41"/>
        <v>14.476463815962946</v>
      </c>
      <c r="AM99" s="80">
        <f t="shared" si="41"/>
        <v>14.593723172872245</v>
      </c>
      <c r="AN99" s="80">
        <f t="shared" si="42"/>
        <v>14.668151161053895</v>
      </c>
      <c r="AO99" s="80">
        <f t="shared" si="42"/>
        <v>14.742958731975271</v>
      </c>
    </row>
    <row r="100" spans="2:41">
      <c r="B100" s="81">
        <v>0</v>
      </c>
      <c r="C100" s="81">
        <v>0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  <c r="I100" s="81">
        <v>0</v>
      </c>
      <c r="J100" s="79">
        <v>4.7710885949999993</v>
      </c>
      <c r="K100" s="79">
        <v>4.8559079477999996</v>
      </c>
      <c r="L100" s="79">
        <v>4.940727300599999</v>
      </c>
      <c r="M100" s="79">
        <v>5.0255466533999993</v>
      </c>
      <c r="N100" s="79">
        <v>5.3658843065099999</v>
      </c>
      <c r="O100" s="79">
        <v>5.4549446269500006</v>
      </c>
      <c r="P100" s="79">
        <v>5.5440049473900004</v>
      </c>
      <c r="Q100" s="79">
        <v>5.6330652678300002</v>
      </c>
      <c r="R100" s="79">
        <v>6.0082318676835005</v>
      </c>
      <c r="S100" s="79">
        <v>6.1017452041454998</v>
      </c>
      <c r="T100" s="79">
        <v>6.1952585406075009</v>
      </c>
      <c r="U100" s="79">
        <v>6.2887718770695011</v>
      </c>
      <c r="V100" s="80">
        <f t="shared" si="37"/>
        <v>6.30134942082364</v>
      </c>
      <c r="W100" s="80">
        <f t="shared" si="37"/>
        <v>6.313952119665287</v>
      </c>
      <c r="X100" s="80">
        <f t="shared" si="37"/>
        <v>6.3265800239046177</v>
      </c>
      <c r="Y100" s="80">
        <f t="shared" si="37"/>
        <v>6.3392331839524267</v>
      </c>
      <c r="Z100" s="80">
        <f t="shared" si="38"/>
        <v>6.3645901166882366</v>
      </c>
      <c r="AA100" s="80">
        <f t="shared" si="38"/>
        <v>6.3900484771549895</v>
      </c>
      <c r="AB100" s="80">
        <f t="shared" si="38"/>
        <v>6.4156086710636098</v>
      </c>
      <c r="AC100" s="80">
        <f t="shared" si="38"/>
        <v>6.4412711057478642</v>
      </c>
      <c r="AD100" s="80">
        <f t="shared" si="39"/>
        <v>6.4799187323823517</v>
      </c>
      <c r="AE100" s="80">
        <f t="shared" si="39"/>
        <v>6.5187982447766455</v>
      </c>
      <c r="AF100" s="80">
        <f t="shared" si="39"/>
        <v>6.5579110342453051</v>
      </c>
      <c r="AG100" s="80">
        <f t="shared" si="39"/>
        <v>6.5972585004507769</v>
      </c>
      <c r="AH100" s="80">
        <f t="shared" si="40"/>
        <v>6.6460782133541114</v>
      </c>
      <c r="AI100" s="80">
        <f t="shared" si="40"/>
        <v>6.695259192132931</v>
      </c>
      <c r="AJ100" s="80">
        <f t="shared" si="40"/>
        <v>6.744804110154714</v>
      </c>
      <c r="AK100" s="80">
        <f t="shared" si="40"/>
        <v>6.7947156605698575</v>
      </c>
      <c r="AL100" s="80">
        <f t="shared" si="41"/>
        <v>6.8497528574204738</v>
      </c>
      <c r="AM100" s="80">
        <f t="shared" si="41"/>
        <v>6.9052358555655795</v>
      </c>
      <c r="AN100" s="80">
        <f t="shared" si="42"/>
        <v>6.9404525584289649</v>
      </c>
      <c r="AO100" s="80">
        <f t="shared" si="42"/>
        <v>6.9758488664769533</v>
      </c>
    </row>
    <row r="101" spans="2:41">
      <c r="B101" s="81">
        <v>0</v>
      </c>
      <c r="C101" s="81">
        <v>0</v>
      </c>
      <c r="D101" s="81">
        <v>0</v>
      </c>
      <c r="E101" s="81">
        <v>0</v>
      </c>
      <c r="F101" s="81">
        <v>0</v>
      </c>
      <c r="G101" s="81">
        <v>0</v>
      </c>
      <c r="H101" s="81">
        <v>0</v>
      </c>
      <c r="I101" s="81">
        <v>0</v>
      </c>
      <c r="J101" s="81">
        <v>0</v>
      </c>
      <c r="K101" s="81">
        <v>0</v>
      </c>
      <c r="L101" s="81">
        <v>0</v>
      </c>
      <c r="M101" s="81">
        <v>0</v>
      </c>
      <c r="N101" s="79">
        <v>8.0770689153449595</v>
      </c>
      <c r="O101" s="79">
        <v>8.17647899430305</v>
      </c>
      <c r="P101" s="79">
        <v>8.2758890732611423</v>
      </c>
      <c r="Q101" s="79">
        <v>8.3752991522192346</v>
      </c>
      <c r="R101" s="79">
        <v>8.8984446927361933</v>
      </c>
      <c r="S101" s="79">
        <v>9.0028252756421896</v>
      </c>
      <c r="T101" s="79">
        <v>9.1072058585481859</v>
      </c>
      <c r="U101" s="79">
        <v>9.2115864414541822</v>
      </c>
      <c r="V101" s="80">
        <f t="shared" si="37"/>
        <v>9.2300096143370904</v>
      </c>
      <c r="W101" s="80">
        <f t="shared" si="37"/>
        <v>9.2484696335657652</v>
      </c>
      <c r="X101" s="80">
        <f t="shared" si="37"/>
        <v>9.2669665728328976</v>
      </c>
      <c r="Y101" s="80">
        <f t="shared" si="37"/>
        <v>9.2855005059785629</v>
      </c>
      <c r="Z101" s="80">
        <f t="shared" si="38"/>
        <v>9.3226425080024775</v>
      </c>
      <c r="AA101" s="80">
        <f t="shared" si="38"/>
        <v>9.3599330780344872</v>
      </c>
      <c r="AB101" s="80">
        <f t="shared" si="38"/>
        <v>9.3973728103466243</v>
      </c>
      <c r="AC101" s="80">
        <f t="shared" si="38"/>
        <v>9.4349623015880102</v>
      </c>
      <c r="AD101" s="80">
        <f t="shared" si="39"/>
        <v>9.4915720753975386</v>
      </c>
      <c r="AE101" s="80">
        <f t="shared" si="39"/>
        <v>9.548521507849923</v>
      </c>
      <c r="AF101" s="80">
        <f t="shared" si="39"/>
        <v>9.6058126368970225</v>
      </c>
      <c r="AG101" s="80">
        <f t="shared" si="39"/>
        <v>9.6634475127184043</v>
      </c>
      <c r="AH101" s="80">
        <f t="shared" si="40"/>
        <v>9.7349570243125196</v>
      </c>
      <c r="AI101" s="80">
        <f t="shared" si="40"/>
        <v>9.8069957062924313</v>
      </c>
      <c r="AJ101" s="80">
        <f t="shared" si="40"/>
        <v>9.8795674745189945</v>
      </c>
      <c r="AK101" s="80">
        <f t="shared" si="40"/>
        <v>9.9526762738304342</v>
      </c>
      <c r="AL101" s="80">
        <f t="shared" si="41"/>
        <v>10.033292951648461</v>
      </c>
      <c r="AM101" s="80">
        <f t="shared" si="41"/>
        <v>10.114562624556813</v>
      </c>
      <c r="AN101" s="80">
        <f t="shared" si="42"/>
        <v>10.166146893942054</v>
      </c>
      <c r="AO101" s="80">
        <f t="shared" si="42"/>
        <v>10.21799424310116</v>
      </c>
    </row>
    <row r="102" spans="2:41">
      <c r="B102" s="81">
        <v>0</v>
      </c>
      <c r="C102" s="81">
        <v>0</v>
      </c>
      <c r="D102" s="81">
        <v>0</v>
      </c>
      <c r="E102" s="81">
        <v>0</v>
      </c>
      <c r="F102" s="81">
        <v>0</v>
      </c>
      <c r="G102" s="81">
        <v>0</v>
      </c>
      <c r="H102" s="81">
        <v>0</v>
      </c>
      <c r="I102" s="81">
        <v>0</v>
      </c>
      <c r="J102" s="81">
        <v>0</v>
      </c>
      <c r="K102" s="81">
        <v>0</v>
      </c>
      <c r="L102" s="81">
        <v>0</v>
      </c>
      <c r="M102" s="81">
        <v>0</v>
      </c>
      <c r="N102" s="79">
        <v>8.8309191600000148</v>
      </c>
      <c r="O102" s="79">
        <v>8.9486647488000148</v>
      </c>
      <c r="P102" s="79">
        <v>9.0664103376000149</v>
      </c>
      <c r="Q102" s="79">
        <v>9.184155926400015</v>
      </c>
      <c r="R102" s="79">
        <v>9.7669965909600158</v>
      </c>
      <c r="S102" s="79">
        <v>9.8906294592000172</v>
      </c>
      <c r="T102" s="79">
        <v>10.014262327440017</v>
      </c>
      <c r="U102" s="79">
        <v>10.137895195680017</v>
      </c>
      <c r="V102" s="80">
        <f t="shared" si="37"/>
        <v>10.158170986071376</v>
      </c>
      <c r="W102" s="80">
        <f t="shared" si="37"/>
        <v>10.178487328043518</v>
      </c>
      <c r="X102" s="80">
        <f t="shared" si="37"/>
        <v>10.198844302699605</v>
      </c>
      <c r="Y102" s="80">
        <f t="shared" si="37"/>
        <v>10.219241991305005</v>
      </c>
      <c r="Z102" s="80">
        <f t="shared" si="38"/>
        <v>10.260118959270224</v>
      </c>
      <c r="AA102" s="80">
        <f t="shared" si="38"/>
        <v>10.301159435107305</v>
      </c>
      <c r="AB102" s="80">
        <f t="shared" si="38"/>
        <v>10.342364072847735</v>
      </c>
      <c r="AC102" s="80">
        <f t="shared" si="38"/>
        <v>10.383733529139127</v>
      </c>
      <c r="AD102" s="80">
        <f t="shared" si="39"/>
        <v>10.446035930313961</v>
      </c>
      <c r="AE102" s="80">
        <f t="shared" si="39"/>
        <v>10.508712145895846</v>
      </c>
      <c r="AF102" s="80">
        <f t="shared" si="39"/>
        <v>10.57176441877122</v>
      </c>
      <c r="AG102" s="80">
        <f t="shared" si="39"/>
        <v>10.635195005283848</v>
      </c>
      <c r="AH102" s="80">
        <f t="shared" si="40"/>
        <v>10.713895448322946</v>
      </c>
      <c r="AI102" s="80">
        <f t="shared" si="40"/>
        <v>10.793178274640534</v>
      </c>
      <c r="AJ102" s="80">
        <f t="shared" si="40"/>
        <v>10.873047793872871</v>
      </c>
      <c r="AK102" s="80">
        <f t="shared" si="40"/>
        <v>10.953508347547528</v>
      </c>
      <c r="AL102" s="80">
        <f t="shared" si="41"/>
        <v>11.042231765162663</v>
      </c>
      <c r="AM102" s="80">
        <f t="shared" si="41"/>
        <v>11.131673842460481</v>
      </c>
      <c r="AN102" s="80">
        <f t="shared" si="42"/>
        <v>11.188445379057031</v>
      </c>
      <c r="AO102" s="80">
        <f t="shared" si="42"/>
        <v>11.245506450490224</v>
      </c>
    </row>
    <row r="103" spans="2:41">
      <c r="B103" s="81">
        <v>0</v>
      </c>
      <c r="C103" s="81">
        <v>0</v>
      </c>
      <c r="D103" s="81">
        <v>0</v>
      </c>
      <c r="E103" s="81">
        <v>0</v>
      </c>
      <c r="F103" s="81">
        <v>0</v>
      </c>
      <c r="G103" s="81">
        <v>0</v>
      </c>
      <c r="H103" s="81">
        <v>0</v>
      </c>
      <c r="I103" s="81">
        <v>0</v>
      </c>
      <c r="J103" s="81">
        <v>0</v>
      </c>
      <c r="K103" s="81">
        <v>0</v>
      </c>
      <c r="L103" s="81">
        <v>0</v>
      </c>
      <c r="M103" s="81">
        <v>0</v>
      </c>
      <c r="N103" s="79">
        <v>4.6227740475825305</v>
      </c>
      <c r="O103" s="79">
        <v>4.9309589840880328</v>
      </c>
      <c r="P103" s="79">
        <v>5.2391439205935342</v>
      </c>
      <c r="Q103" s="79">
        <v>5.5473288570990373</v>
      </c>
      <c r="R103" s="79">
        <v>6.148289483284767</v>
      </c>
      <c r="S103" s="79">
        <v>6.4718836666155442</v>
      </c>
      <c r="T103" s="79">
        <v>6.7954778499463213</v>
      </c>
      <c r="U103" s="79">
        <v>7.1190720332770994</v>
      </c>
      <c r="V103" s="80">
        <f t="shared" si="37"/>
        <v>7.1333101773436534</v>
      </c>
      <c r="W103" s="80">
        <f t="shared" si="37"/>
        <v>7.1475767976983411</v>
      </c>
      <c r="X103" s="80">
        <f t="shared" si="37"/>
        <v>7.1618719512937377</v>
      </c>
      <c r="Y103" s="80">
        <f t="shared" si="37"/>
        <v>7.1761956951963253</v>
      </c>
      <c r="Z103" s="80">
        <f t="shared" si="38"/>
        <v>7.2049004779771106</v>
      </c>
      <c r="AA103" s="80">
        <f t="shared" si="38"/>
        <v>7.2337200798890189</v>
      </c>
      <c r="AB103" s="80">
        <f t="shared" si="38"/>
        <v>7.2626549602085753</v>
      </c>
      <c r="AC103" s="80">
        <f t="shared" si="38"/>
        <v>7.2917055800494097</v>
      </c>
      <c r="AD103" s="80">
        <f t="shared" si="39"/>
        <v>7.3354558135297063</v>
      </c>
      <c r="AE103" s="80">
        <f t="shared" si="39"/>
        <v>7.3794685484108848</v>
      </c>
      <c r="AF103" s="80">
        <f t="shared" si="39"/>
        <v>7.4237453597013499</v>
      </c>
      <c r="AG103" s="80">
        <f t="shared" si="39"/>
        <v>7.4682878318595582</v>
      </c>
      <c r="AH103" s="80">
        <f t="shared" si="40"/>
        <v>7.5235531618153182</v>
      </c>
      <c r="AI103" s="80">
        <f t="shared" si="40"/>
        <v>7.5792274552127505</v>
      </c>
      <c r="AJ103" s="80">
        <f t="shared" si="40"/>
        <v>7.6353137383813241</v>
      </c>
      <c r="AK103" s="80">
        <f t="shared" si="40"/>
        <v>7.6918150600453448</v>
      </c>
      <c r="AL103" s="80">
        <f t="shared" si="41"/>
        <v>7.7541187620317125</v>
      </c>
      <c r="AM103" s="80">
        <f t="shared" si="41"/>
        <v>7.8169271240041693</v>
      </c>
      <c r="AN103" s="80">
        <f t="shared" si="42"/>
        <v>7.856793452336591</v>
      </c>
      <c r="AO103" s="80">
        <f t="shared" si="42"/>
        <v>7.8968630989435082</v>
      </c>
    </row>
    <row r="104" spans="2:41">
      <c r="B104" s="81">
        <v>0</v>
      </c>
      <c r="C104" s="81">
        <v>0</v>
      </c>
      <c r="D104" s="81">
        <v>0</v>
      </c>
      <c r="E104" s="81">
        <v>0</v>
      </c>
      <c r="F104" s="81">
        <v>0</v>
      </c>
      <c r="G104" s="81">
        <v>0</v>
      </c>
      <c r="H104" s="81">
        <v>0</v>
      </c>
      <c r="I104" s="81">
        <v>0</v>
      </c>
      <c r="J104" s="81">
        <v>0</v>
      </c>
      <c r="K104" s="81">
        <v>0</v>
      </c>
      <c r="L104" s="81">
        <v>0</v>
      </c>
      <c r="M104" s="81">
        <v>0</v>
      </c>
      <c r="N104" s="79">
        <v>3.4258102074997856</v>
      </c>
      <c r="O104" s="79">
        <v>3.6893340696151538</v>
      </c>
      <c r="P104" s="79">
        <v>3.9528579317305219</v>
      </c>
      <c r="Q104" s="79">
        <v>4.2163817938458905</v>
      </c>
      <c r="R104" s="79">
        <v>4.7039009387593218</v>
      </c>
      <c r="S104" s="79">
        <v>4.9806009939804587</v>
      </c>
      <c r="T104" s="79">
        <v>5.2573010492015966</v>
      </c>
      <c r="U104" s="79">
        <v>5.5340011044227326</v>
      </c>
      <c r="V104" s="80">
        <f t="shared" si="37"/>
        <v>5.545069106631578</v>
      </c>
      <c r="W104" s="80">
        <f t="shared" si="37"/>
        <v>5.5561592448448414</v>
      </c>
      <c r="X104" s="80">
        <f t="shared" si="37"/>
        <v>5.5672715633345309</v>
      </c>
      <c r="Y104" s="80">
        <f t="shared" si="37"/>
        <v>5.5784061064612001</v>
      </c>
      <c r="Z104" s="80">
        <f t="shared" si="38"/>
        <v>5.6007197308870449</v>
      </c>
      <c r="AA104" s="80">
        <f t="shared" si="38"/>
        <v>5.6231226098105935</v>
      </c>
      <c r="AB104" s="80">
        <f t="shared" si="38"/>
        <v>5.6456151002498363</v>
      </c>
      <c r="AC104" s="80">
        <f t="shared" si="38"/>
        <v>5.6681975606508352</v>
      </c>
      <c r="AD104" s="80">
        <f t="shared" si="39"/>
        <v>5.7022067460147401</v>
      </c>
      <c r="AE104" s="80">
        <f t="shared" si="39"/>
        <v>5.7364199864908283</v>
      </c>
      <c r="AF104" s="80">
        <f t="shared" si="39"/>
        <v>5.7708385064097731</v>
      </c>
      <c r="AG104" s="80">
        <f t="shared" si="39"/>
        <v>5.8054635374482322</v>
      </c>
      <c r="AH104" s="80">
        <f t="shared" si="40"/>
        <v>5.8484239676253482</v>
      </c>
      <c r="AI104" s="80">
        <f t="shared" si="40"/>
        <v>5.8917023049857749</v>
      </c>
      <c r="AJ104" s="80">
        <f t="shared" si="40"/>
        <v>5.9353009020426688</v>
      </c>
      <c r="AK104" s="80">
        <f t="shared" si="40"/>
        <v>5.979222128717784</v>
      </c>
      <c r="AL104" s="80">
        <f t="shared" si="41"/>
        <v>6.0276538279603979</v>
      </c>
      <c r="AM104" s="80">
        <f t="shared" si="41"/>
        <v>6.0764778239668775</v>
      </c>
      <c r="AN104" s="80">
        <f t="shared" si="42"/>
        <v>6.1074678608691091</v>
      </c>
      <c r="AO104" s="80">
        <f t="shared" si="42"/>
        <v>6.1386159469595425</v>
      </c>
    </row>
    <row r="106" spans="2:41">
      <c r="B106" s="115">
        <v>2023</v>
      </c>
      <c r="C106" s="115"/>
      <c r="D106" s="115"/>
      <c r="E106" s="115"/>
      <c r="F106" s="112">
        <f>B106+1</f>
        <v>2024</v>
      </c>
      <c r="G106" s="112"/>
      <c r="H106" s="112"/>
      <c r="I106" s="112"/>
      <c r="J106" s="116">
        <f t="shared" ref="J106" si="43">F106+1</f>
        <v>2025</v>
      </c>
      <c r="K106" s="116"/>
      <c r="L106" s="116"/>
      <c r="M106" s="116"/>
      <c r="N106" s="156">
        <f t="shared" ref="N106" si="44">J106+1</f>
        <v>2026</v>
      </c>
      <c r="O106" s="156"/>
      <c r="P106" s="156"/>
      <c r="Q106" s="156"/>
      <c r="R106" s="155">
        <f t="shared" ref="R106" si="45">N106+1</f>
        <v>2027</v>
      </c>
      <c r="S106" s="155"/>
      <c r="T106" s="155"/>
      <c r="U106" s="155"/>
      <c r="V106" s="115">
        <f t="shared" ref="V106" si="46">R106+1</f>
        <v>2028</v>
      </c>
      <c r="W106" s="115"/>
      <c r="X106" s="115"/>
      <c r="Y106" s="115"/>
      <c r="Z106" s="116">
        <f t="shared" ref="Z106" si="47">V106+1</f>
        <v>2029</v>
      </c>
      <c r="AA106" s="116"/>
      <c r="AB106" s="116"/>
      <c r="AC106" s="116"/>
      <c r="AD106" s="155">
        <f t="shared" ref="AD106" si="48">Z106+1</f>
        <v>2030</v>
      </c>
      <c r="AE106" s="155"/>
      <c r="AF106" s="155"/>
      <c r="AG106" s="155"/>
      <c r="AH106" s="156">
        <f t="shared" ref="AH106" si="49">AD106+1</f>
        <v>2031</v>
      </c>
      <c r="AI106" s="156"/>
      <c r="AJ106" s="156"/>
      <c r="AK106" s="156"/>
      <c r="AL106" s="156">
        <f t="shared" ref="AL106" si="50">AH106+1</f>
        <v>2032</v>
      </c>
      <c r="AM106" s="156"/>
      <c r="AN106" s="156"/>
      <c r="AO106" s="156"/>
    </row>
    <row r="107" spans="2:41">
      <c r="B107" s="19">
        <v>1</v>
      </c>
      <c r="C107" s="19">
        <v>2</v>
      </c>
      <c r="D107" s="19">
        <v>3</v>
      </c>
      <c r="E107" s="19">
        <v>4</v>
      </c>
      <c r="F107" s="19">
        <v>1</v>
      </c>
      <c r="G107" s="19">
        <v>2</v>
      </c>
      <c r="H107" s="19">
        <v>3</v>
      </c>
      <c r="I107" s="19">
        <v>4</v>
      </c>
      <c r="J107" s="19">
        <v>1</v>
      </c>
      <c r="K107" s="19">
        <v>2</v>
      </c>
      <c r="L107" s="19">
        <v>3</v>
      </c>
      <c r="M107" s="19">
        <v>4</v>
      </c>
      <c r="N107" s="19">
        <v>1</v>
      </c>
      <c r="O107" s="19">
        <v>2</v>
      </c>
      <c r="P107" s="19">
        <v>3</v>
      </c>
      <c r="Q107" s="19">
        <v>4</v>
      </c>
      <c r="R107" s="19">
        <v>1</v>
      </c>
      <c r="S107" s="19">
        <v>2</v>
      </c>
      <c r="T107" s="19">
        <v>3</v>
      </c>
      <c r="U107" s="19">
        <v>4</v>
      </c>
      <c r="V107" s="19">
        <v>1</v>
      </c>
      <c r="W107" s="19">
        <v>2</v>
      </c>
      <c r="X107" s="19">
        <v>3</v>
      </c>
      <c r="Y107" s="19">
        <v>4</v>
      </c>
      <c r="Z107" s="19">
        <v>1</v>
      </c>
      <c r="AA107" s="19">
        <v>2</v>
      </c>
      <c r="AB107" s="19">
        <v>3</v>
      </c>
      <c r="AC107" s="19">
        <v>4</v>
      </c>
      <c r="AD107" s="19">
        <v>1</v>
      </c>
      <c r="AE107" s="19">
        <v>2</v>
      </c>
      <c r="AF107" s="19">
        <v>3</v>
      </c>
      <c r="AG107" s="19">
        <v>4</v>
      </c>
      <c r="AH107" s="19">
        <v>1</v>
      </c>
      <c r="AI107" s="19">
        <v>2</v>
      </c>
      <c r="AJ107" s="19">
        <v>3</v>
      </c>
      <c r="AK107" s="19">
        <v>4</v>
      </c>
      <c r="AL107" s="19">
        <v>1</v>
      </c>
      <c r="AM107" s="19">
        <v>2</v>
      </c>
      <c r="AN107" s="19">
        <v>3</v>
      </c>
      <c r="AO107" s="19">
        <v>4</v>
      </c>
    </row>
    <row r="108" spans="2:41">
      <c r="B108" s="75">
        <f>B88-C4</f>
        <v>3.6749999999999998</v>
      </c>
      <c r="C108" s="75">
        <f t="shared" ref="C108:U122" si="51">C88-D4</f>
        <v>4.4827200000000031</v>
      </c>
      <c r="D108" s="75">
        <f t="shared" si="51"/>
        <v>4.4270800000000028</v>
      </c>
      <c r="E108" s="75">
        <f t="shared" si="51"/>
        <v>4.3600800000000026</v>
      </c>
      <c r="F108" s="75">
        <f t="shared" si="51"/>
        <v>4.5581997129186593</v>
      </c>
      <c r="G108" s="75">
        <f t="shared" si="51"/>
        <v>4.775307896291034</v>
      </c>
      <c r="H108" s="75">
        <f t="shared" si="51"/>
        <v>4.9090303349282287</v>
      </c>
      <c r="I108" s="75">
        <f t="shared" si="51"/>
        <v>5.0844456459330107</v>
      </c>
      <c r="J108" s="75">
        <f t="shared" si="51"/>
        <v>5.9332515000000043</v>
      </c>
      <c r="K108" s="75">
        <f t="shared" si="51"/>
        <v>6.2099777400000047</v>
      </c>
      <c r="L108" s="75">
        <f t="shared" si="51"/>
        <v>6.4289269980694996</v>
      </c>
      <c r="M108" s="75">
        <f t="shared" si="51"/>
        <v>6.8090689980694989</v>
      </c>
      <c r="N108" s="75">
        <f t="shared" si="51"/>
        <v>7.8262294630308915</v>
      </c>
      <c r="O108" s="75">
        <f t="shared" si="51"/>
        <v>8.225378563030894</v>
      </c>
      <c r="P108" s="75">
        <f t="shared" si="51"/>
        <v>8.6245276630308929</v>
      </c>
      <c r="Q108" s="75">
        <f t="shared" si="51"/>
        <v>9.0323787726000067</v>
      </c>
      <c r="R108" s="75">
        <f t="shared" si="51"/>
        <v>10.180828767078012</v>
      </c>
      <c r="S108" s="75">
        <f t="shared" si="51"/>
        <v>10.596182784541513</v>
      </c>
      <c r="T108" s="75">
        <f t="shared" si="51"/>
        <v>11.015289339541516</v>
      </c>
      <c r="U108" s="75">
        <f t="shared" si="51"/>
        <v>11.434395894541515</v>
      </c>
      <c r="V108" s="75">
        <f>V88-W4</f>
        <v>11.272151574316633</v>
      </c>
      <c r="W108" s="75">
        <f t="shared" ref="W108:AO122" si="52">W88-X4</f>
        <v>11.314356023511689</v>
      </c>
      <c r="X108" s="75">
        <f t="shared" si="52"/>
        <v>11.356644881605135</v>
      </c>
      <c r="Y108" s="75">
        <f t="shared" si="52"/>
        <v>11.399018317414768</v>
      </c>
      <c r="Z108" s="75">
        <f t="shared" si="52"/>
        <v>11.287333222313052</v>
      </c>
      <c r="AA108" s="75">
        <f t="shared" si="52"/>
        <v>11.372589253137003</v>
      </c>
      <c r="AB108" s="75">
        <f t="shared" si="52"/>
        <v>11.431533797495005</v>
      </c>
      <c r="AC108" s="75">
        <f t="shared" si="52"/>
        <v>11.55621311755187</v>
      </c>
      <c r="AD108" s="75">
        <f t="shared" si="52"/>
        <v>11.485346176613938</v>
      </c>
      <c r="AE108" s="75">
        <f t="shared" si="52"/>
        <v>11.615547526831953</v>
      </c>
      <c r="AF108" s="75">
        <f t="shared" si="52"/>
        <v>11.734200971524691</v>
      </c>
      <c r="AG108" s="75">
        <f t="shared" si="52"/>
        <v>11.86596942519393</v>
      </c>
      <c r="AH108" s="75">
        <f t="shared" si="52"/>
        <v>11.863735759300045</v>
      </c>
      <c r="AI108" s="75">
        <f t="shared" si="52"/>
        <v>12.0284350944436</v>
      </c>
      <c r="AJ108" s="75">
        <f t="shared" si="52"/>
        <v>12.194353204667218</v>
      </c>
      <c r="AK108" s="75">
        <f t="shared" si="52"/>
        <v>12.361499108906491</v>
      </c>
      <c r="AL108" s="75">
        <f t="shared" si="52"/>
        <v>12.388862314403244</v>
      </c>
      <c r="AM108" s="75">
        <f t="shared" si="52"/>
        <v>12.574666117685936</v>
      </c>
      <c r="AN108" s="75">
        <f t="shared" si="52"/>
        <v>12.692601296927339</v>
      </c>
      <c r="AO108" s="75">
        <f t="shared" si="52"/>
        <v>12.811137945582875</v>
      </c>
    </row>
    <row r="109" spans="2:41">
      <c r="B109" s="75">
        <f t="shared" ref="B109:Q125" si="53">B89-C5</f>
        <v>5.0000000000000711E-2</v>
      </c>
      <c r="C109" s="75">
        <f>C89-D5</f>
        <v>3.1733333333335167E-2</v>
      </c>
      <c r="D109" s="75">
        <f t="shared" si="53"/>
        <v>0.1147999999999989</v>
      </c>
      <c r="E109" s="75">
        <f t="shared" si="53"/>
        <v>0.19786666666666797</v>
      </c>
      <c r="F109" s="75">
        <f t="shared" si="53"/>
        <v>6.2949098789756519E-2</v>
      </c>
      <c r="G109" s="75">
        <f t="shared" si="53"/>
        <v>6.7761703123602857E-2</v>
      </c>
      <c r="H109" s="75">
        <f t="shared" si="53"/>
        <v>0.22623004356881715</v>
      </c>
      <c r="I109" s="75">
        <f t="shared" si="53"/>
        <v>0.30787051595834392</v>
      </c>
      <c r="J109" s="75">
        <f t="shared" si="53"/>
        <v>0.82529123175547703</v>
      </c>
      <c r="K109" s="75">
        <f t="shared" si="53"/>
        <v>1.1139758461554781</v>
      </c>
      <c r="L109" s="75">
        <f t="shared" si="53"/>
        <v>1.4026604605554809</v>
      </c>
      <c r="M109" s="75">
        <f t="shared" si="53"/>
        <v>1.6913450749554819</v>
      </c>
      <c r="N109" s="75">
        <f t="shared" si="53"/>
        <v>3.0357997249554849</v>
      </c>
      <c r="O109" s="75">
        <f t="shared" si="53"/>
        <v>3.482179924955485</v>
      </c>
      <c r="P109" s="75">
        <f t="shared" si="53"/>
        <v>3.9285601249554851</v>
      </c>
      <c r="Q109" s="75">
        <f t="shared" si="53"/>
        <v>4.3749403249554852</v>
      </c>
      <c r="R109" s="75">
        <f t="shared" si="51"/>
        <v>5.329856074955476</v>
      </c>
      <c r="S109" s="75">
        <f t="shared" si="51"/>
        <v>5.329856074955476</v>
      </c>
      <c r="T109" s="75">
        <f t="shared" si="51"/>
        <v>5.2259022573554752</v>
      </c>
      <c r="U109" s="75">
        <f t="shared" si="51"/>
        <v>5.2259022573554752</v>
      </c>
      <c r="V109" s="75">
        <f t="shared" ref="V109:AK109" si="54">V89-W5</f>
        <v>5.269102257355474</v>
      </c>
      <c r="W109" s="75">
        <f t="shared" si="54"/>
        <v>5.2084348397554727</v>
      </c>
      <c r="X109" s="75">
        <f t="shared" si="54"/>
        <v>5.251807812555473</v>
      </c>
      <c r="Y109" s="75">
        <f t="shared" si="54"/>
        <v>5.2952675313010715</v>
      </c>
      <c r="Z109" s="75">
        <f t="shared" si="54"/>
        <v>5.3823608076672542</v>
      </c>
      <c r="AA109" s="75">
        <f t="shared" si="54"/>
        <v>5.4698024571389006</v>
      </c>
      <c r="AB109" s="75">
        <f t="shared" si="54"/>
        <v>6.0384713791007858</v>
      </c>
      <c r="AC109" s="75">
        <f t="shared" si="54"/>
        <v>6.1266139608345984</v>
      </c>
      <c r="AD109" s="75">
        <f t="shared" si="54"/>
        <v>6.2593566889257186</v>
      </c>
      <c r="AE109" s="75">
        <f t="shared" si="54"/>
        <v>6.3928958733853865</v>
      </c>
      <c r="AF109" s="75">
        <f t="shared" si="54"/>
        <v>6.0073761054594641</v>
      </c>
      <c r="AG109" s="75">
        <f t="shared" si="54"/>
        <v>6.0710543179432861</v>
      </c>
      <c r="AH109" s="75">
        <f t="shared" si="54"/>
        <v>6.3556830831327531</v>
      </c>
      <c r="AI109" s="75">
        <f t="shared" si="54"/>
        <v>6.5246046408531022</v>
      </c>
      <c r="AJ109" s="75">
        <f t="shared" si="54"/>
        <v>6.6947762181005821</v>
      </c>
      <c r="AK109" s="75">
        <f t="shared" si="54"/>
        <v>6.794738815419695</v>
      </c>
      <c r="AL109" s="75">
        <f t="shared" si="52"/>
        <v>7.1137169556641737</v>
      </c>
      <c r="AM109" s="75">
        <f t="shared" si="52"/>
        <v>7.3042840144414356</v>
      </c>
      <c r="AN109" s="75">
        <f t="shared" si="52"/>
        <v>7.4252425730787373</v>
      </c>
      <c r="AO109" s="75">
        <f t="shared" si="52"/>
        <v>7.4753497707650887</v>
      </c>
    </row>
    <row r="110" spans="2:41">
      <c r="B110" s="75">
        <f t="shared" si="53"/>
        <v>-4.9439999999999955</v>
      </c>
      <c r="C110" s="75">
        <f>C90-D6</f>
        <v>-4.9884999999999966</v>
      </c>
      <c r="D110" s="75">
        <f t="shared" si="51"/>
        <v>-5.0329999999999995</v>
      </c>
      <c r="E110" s="75">
        <f t="shared" si="51"/>
        <v>-5.077499999999997</v>
      </c>
      <c r="F110" s="75">
        <f t="shared" si="51"/>
        <v>-5.3994914483535013</v>
      </c>
      <c r="G110" s="75">
        <f t="shared" si="51"/>
        <v>-5.5486673136409017</v>
      </c>
      <c r="H110" s="75">
        <f t="shared" si="51"/>
        <v>-5.4947230592738521</v>
      </c>
      <c r="I110" s="75">
        <f t="shared" si="51"/>
        <v>-5.5423388647340346</v>
      </c>
      <c r="J110" s="75">
        <f t="shared" si="51"/>
        <v>-5.8954319894427503</v>
      </c>
      <c r="K110" s="75">
        <f t="shared" si="51"/>
        <v>-5.5537739999999935</v>
      </c>
      <c r="L110" s="75">
        <f t="shared" si="51"/>
        <v>-5.1551099999999934</v>
      </c>
      <c r="M110" s="75">
        <f t="shared" si="51"/>
        <v>-4.7564459999999933</v>
      </c>
      <c r="N110" s="75">
        <f t="shared" si="51"/>
        <v>-3.495671099999992</v>
      </c>
      <c r="O110" s="75">
        <f t="shared" si="51"/>
        <v>-3.0770738999999914</v>
      </c>
      <c r="P110" s="75">
        <f t="shared" si="51"/>
        <v>-2.6584766999999907</v>
      </c>
      <c r="Q110" s="75">
        <f t="shared" si="51"/>
        <v>-2.23987949999999</v>
      </c>
      <c r="R110" s="75">
        <f t="shared" si="51"/>
        <v>-0.83234641499998929</v>
      </c>
      <c r="S110" s="75">
        <f t="shared" si="51"/>
        <v>-0.39281935499998966</v>
      </c>
      <c r="T110" s="75">
        <f t="shared" si="51"/>
        <v>0</v>
      </c>
      <c r="U110" s="75">
        <f t="shared" si="51"/>
        <v>0</v>
      </c>
      <c r="V110" s="75">
        <f t="shared" ref="V110" si="55">V90-W6</f>
        <v>4.3199999999998795E-2</v>
      </c>
      <c r="W110" s="75">
        <f t="shared" si="52"/>
        <v>8.6486399999998298E-2</v>
      </c>
      <c r="X110" s="75">
        <f t="shared" si="52"/>
        <v>0.1298593727999986</v>
      </c>
      <c r="Y110" s="75">
        <f t="shared" si="52"/>
        <v>0.1733190915455971</v>
      </c>
      <c r="Z110" s="75">
        <f t="shared" si="52"/>
        <v>0.2604123679117798</v>
      </c>
      <c r="AA110" s="75">
        <f t="shared" si="52"/>
        <v>0.34785401738342614</v>
      </c>
      <c r="AB110" s="75">
        <f t="shared" si="52"/>
        <v>0.43564543345296158</v>
      </c>
      <c r="AC110" s="75">
        <f t="shared" si="52"/>
        <v>0.5237880151867742</v>
      </c>
      <c r="AD110" s="75">
        <f t="shared" si="52"/>
        <v>0.6565307432778944</v>
      </c>
      <c r="AE110" s="75">
        <f t="shared" si="52"/>
        <v>0.79006992773756224</v>
      </c>
      <c r="AF110" s="75">
        <f t="shared" si="52"/>
        <v>0.92441034730398641</v>
      </c>
      <c r="AG110" s="75">
        <f t="shared" si="52"/>
        <v>1.0595568093878107</v>
      </c>
      <c r="AH110" s="75">
        <f t="shared" si="52"/>
        <v>1.2272375297772768</v>
      </c>
      <c r="AI110" s="75">
        <f t="shared" si="52"/>
        <v>1.396159087497626</v>
      </c>
      <c r="AJ110" s="75">
        <f t="shared" si="52"/>
        <v>1.5663306647451058</v>
      </c>
      <c r="AK110" s="75">
        <f t="shared" si="52"/>
        <v>1.7377615116642176</v>
      </c>
      <c r="AL110" s="75">
        <f t="shared" si="52"/>
        <v>1.9267973799086988</v>
      </c>
      <c r="AM110" s="75">
        <f t="shared" si="52"/>
        <v>2.1173644386859607</v>
      </c>
      <c r="AN110" s="75">
        <f t="shared" si="52"/>
        <v>2.2383229973232623</v>
      </c>
      <c r="AO110" s="75">
        <f t="shared" si="52"/>
        <v>2.3598984446096125</v>
      </c>
    </row>
    <row r="111" spans="2:41">
      <c r="B111" s="75">
        <f t="shared" si="53"/>
        <v>-2.1869999999999967</v>
      </c>
      <c r="C111" s="75">
        <f t="shared" si="51"/>
        <v>-1.9753999999999969</v>
      </c>
      <c r="D111" s="75">
        <f t="shared" si="51"/>
        <v>-1.7697679999999956</v>
      </c>
      <c r="E111" s="75">
        <f t="shared" si="51"/>
        <v>-1.5402639999999943</v>
      </c>
      <c r="F111" s="75">
        <f t="shared" si="51"/>
        <v>-1.1942143199999951</v>
      </c>
      <c r="G111" s="75">
        <f t="shared" si="51"/>
        <v>-0.90668471999999589</v>
      </c>
      <c r="H111" s="75">
        <f t="shared" si="51"/>
        <v>-0.5278447199999956</v>
      </c>
      <c r="I111" s="75">
        <f t="shared" si="51"/>
        <v>-0.20379095999999386</v>
      </c>
      <c r="J111" s="75">
        <f t="shared" si="51"/>
        <v>0.36459608400000576</v>
      </c>
      <c r="K111" s="75">
        <f t="shared" si="51"/>
        <v>0.66303236880000505</v>
      </c>
      <c r="L111" s="75">
        <f t="shared" si="51"/>
        <v>1.0235597256000073</v>
      </c>
      <c r="M111" s="75">
        <f t="shared" si="51"/>
        <v>1.3468324392000088</v>
      </c>
      <c r="N111" s="75">
        <f t="shared" si="51"/>
        <v>2.0134615467600074</v>
      </c>
      <c r="O111" s="75">
        <f t="shared" si="51"/>
        <v>2.2664671238160086</v>
      </c>
      <c r="P111" s="75">
        <f t="shared" si="51"/>
        <v>2.4878062541520087</v>
      </c>
      <c r="Q111" s="75">
        <f t="shared" si="51"/>
        <v>2.6331459123600087</v>
      </c>
      <c r="R111" s="75">
        <f t="shared" si="51"/>
        <v>3.3986765063469697</v>
      </c>
      <c r="S111" s="75">
        <f t="shared" si="51"/>
        <v>3.5142334048029706</v>
      </c>
      <c r="T111" s="75">
        <f t="shared" si="51"/>
        <v>3.6297903032589698</v>
      </c>
      <c r="U111" s="75">
        <f t="shared" si="51"/>
        <v>3.3067925467149681</v>
      </c>
      <c r="V111" s="75">
        <f t="shared" ref="V111" si="56">V91-W7</f>
        <v>2.926828524368851</v>
      </c>
      <c r="W111" s="75">
        <f t="shared" si="52"/>
        <v>2.6339351994287217</v>
      </c>
      <c r="X111" s="75">
        <f t="shared" si="52"/>
        <v>2.3411064709579481</v>
      </c>
      <c r="Y111" s="75">
        <f t="shared" si="52"/>
        <v>2.0483424681494675</v>
      </c>
      <c r="Z111" s="75">
        <f t="shared" si="52"/>
        <v>1.7881357323766505</v>
      </c>
      <c r="AA111" s="75">
        <f t="shared" si="52"/>
        <v>1.8533804955161219</v>
      </c>
      <c r="AB111" s="75">
        <f t="shared" si="52"/>
        <v>1.9188862377081524</v>
      </c>
      <c r="AC111" s="75">
        <f t="shared" si="52"/>
        <v>1.9846540028689486</v>
      </c>
      <c r="AD111" s="75">
        <f t="shared" si="52"/>
        <v>2.0837002572011105</v>
      </c>
      <c r="AE111" s="75">
        <f t="shared" si="52"/>
        <v>2.1833407890592635</v>
      </c>
      <c r="AF111" s="75">
        <f t="shared" si="52"/>
        <v>2.2835791641085681</v>
      </c>
      <c r="AG111" s="75">
        <f t="shared" si="52"/>
        <v>2.3844189694081681</v>
      </c>
      <c r="AH111" s="75">
        <f t="shared" si="52"/>
        <v>2.5095342771702231</v>
      </c>
      <c r="AI111" s="75">
        <f t="shared" si="52"/>
        <v>2.7136214125177744</v>
      </c>
      <c r="AJ111" s="75">
        <f t="shared" si="52"/>
        <v>2.8405952781489603</v>
      </c>
      <c r="AK111" s="75">
        <f t="shared" si="52"/>
        <v>2.9685087503858156</v>
      </c>
      <c r="AL111" s="75">
        <f t="shared" si="52"/>
        <v>3.1680927255282683</v>
      </c>
      <c r="AM111" s="75">
        <f t="shared" si="52"/>
        <v>3.3102847208444111</v>
      </c>
      <c r="AN111" s="75">
        <f t="shared" si="52"/>
        <v>3.4005381933677263</v>
      </c>
      <c r="AO111" s="75">
        <f t="shared" si="52"/>
        <v>3.491251958600909</v>
      </c>
    </row>
    <row r="112" spans="2:41">
      <c r="B112" s="75">
        <f t="shared" si="53"/>
        <v>-5.3619999999999983</v>
      </c>
      <c r="C112" s="75">
        <f t="shared" si="51"/>
        <v>-5.0947999999999976</v>
      </c>
      <c r="D112" s="75">
        <f t="shared" si="51"/>
        <v>-4.8275999999999977</v>
      </c>
      <c r="E112" s="75">
        <f t="shared" si="51"/>
        <v>-4.5603999999999969</v>
      </c>
      <c r="F112" s="75">
        <f t="shared" si="51"/>
        <v>-4.6364415382156015</v>
      </c>
      <c r="G112" s="75">
        <f t="shared" si="51"/>
        <v>-4.8574544768727694</v>
      </c>
      <c r="H112" s="75">
        <f t="shared" si="51"/>
        <v>-4.8858259757680713</v>
      </c>
      <c r="I112" s="75">
        <f t="shared" si="51"/>
        <v>-5.0105181945443285</v>
      </c>
      <c r="J112" s="75">
        <f t="shared" si="51"/>
        <v>-5.4234156807852294</v>
      </c>
      <c r="K112" s="75">
        <f t="shared" si="51"/>
        <v>-5.5550145810793587</v>
      </c>
      <c r="L112" s="75">
        <f t="shared" si="51"/>
        <v>-5.686613481373552</v>
      </c>
      <c r="M112" s="75">
        <f t="shared" si="51"/>
        <v>-5.8182123816677329</v>
      </c>
      <c r="N112" s="75">
        <f t="shared" si="51"/>
        <v>-6.2830885718962897</v>
      </c>
      <c r="O112" s="75">
        <f t="shared" si="51"/>
        <v>-6.4219720773287587</v>
      </c>
      <c r="P112" s="75">
        <f t="shared" si="51"/>
        <v>-6.5608555827612793</v>
      </c>
      <c r="Q112" s="75">
        <f t="shared" si="51"/>
        <v>-6.6997390881937484</v>
      </c>
      <c r="R112" s="75">
        <f t="shared" si="51"/>
        <v>-7.2210310201333723</v>
      </c>
      <c r="S112" s="75">
        <f t="shared" si="51"/>
        <v>-7.3675975654953305</v>
      </c>
      <c r="T112" s="75">
        <f t="shared" si="51"/>
        <v>-7.5141641108572941</v>
      </c>
      <c r="U112" s="75">
        <f t="shared" si="51"/>
        <v>-7.3095361199999953</v>
      </c>
      <c r="V112" s="75">
        <f t="shared" ref="V112" si="57">V92-W8</f>
        <v>-7.2809551922399951</v>
      </c>
      <c r="W112" s="75">
        <f t="shared" si="52"/>
        <v>-7.2523171026244757</v>
      </c>
      <c r="X112" s="75">
        <f t="shared" si="52"/>
        <v>-7.223621736829724</v>
      </c>
      <c r="Y112" s="75">
        <f t="shared" si="52"/>
        <v>-7.194868980303383</v>
      </c>
      <c r="Z112" s="75">
        <f t="shared" si="52"/>
        <v>-7.1372484562245972</v>
      </c>
      <c r="AA112" s="75">
        <f t="shared" si="52"/>
        <v>-7.0793974500494947</v>
      </c>
      <c r="AB112" s="75">
        <f t="shared" si="52"/>
        <v>-7.0213150398496929</v>
      </c>
      <c r="AC112" s="75">
        <f t="shared" si="52"/>
        <v>-6.9630003000090923</v>
      </c>
      <c r="AD112" s="75">
        <f t="shared" si="52"/>
        <v>-6.8751783018091466</v>
      </c>
      <c r="AE112" s="75">
        <f t="shared" si="52"/>
        <v>-6.7868293716200014</v>
      </c>
      <c r="AF112" s="75">
        <f t="shared" si="52"/>
        <v>-6.6979503478497211</v>
      </c>
      <c r="AG112" s="75">
        <f t="shared" si="52"/>
        <v>-6.6085380499368185</v>
      </c>
      <c r="AH112" s="75">
        <f t="shared" si="52"/>
        <v>-6.4976012315063532</v>
      </c>
      <c r="AI112" s="75">
        <f t="shared" si="52"/>
        <v>-6.3858434806195028</v>
      </c>
      <c r="AJ112" s="75">
        <f t="shared" si="52"/>
        <v>-6.2732587223760898</v>
      </c>
      <c r="AK112" s="75">
        <f t="shared" si="52"/>
        <v>-6.1598408369216759</v>
      </c>
      <c r="AL112" s="75">
        <f t="shared" si="52"/>
        <v>-6.0347755477007414</v>
      </c>
      <c r="AM112" s="75">
        <f t="shared" si="52"/>
        <v>-5.9086972296371183</v>
      </c>
      <c r="AN112" s="75">
        <f t="shared" si="52"/>
        <v>-5.8286715855082658</v>
      </c>
      <c r="AO112" s="75">
        <f t="shared" si="52"/>
        <v>-5.7482378105943557</v>
      </c>
    </row>
    <row r="113" spans="2:42">
      <c r="B113" s="75">
        <f t="shared" si="53"/>
        <v>5.97</v>
      </c>
      <c r="C113" s="75">
        <f t="shared" si="51"/>
        <v>6.0568363636363634</v>
      </c>
      <c r="D113" s="75">
        <f t="shared" si="51"/>
        <v>6.143672727272727</v>
      </c>
      <c r="E113" s="75">
        <f t="shared" si="51"/>
        <v>6.2305090909090906</v>
      </c>
      <c r="F113" s="75">
        <f t="shared" si="51"/>
        <v>6.59815622985953</v>
      </c>
      <c r="G113" s="75">
        <f t="shared" si="51"/>
        <v>6.6888525354246102</v>
      </c>
      <c r="H113" s="75">
        <f t="shared" si="51"/>
        <v>6.7795488409896905</v>
      </c>
      <c r="I113" s="75">
        <f t="shared" si="51"/>
        <v>6.8702451465547689</v>
      </c>
      <c r="J113" s="75">
        <f t="shared" si="51"/>
        <v>7.2706603340862896</v>
      </c>
      <c r="K113" s="75">
        <f t="shared" si="51"/>
        <v>7.3653920648235705</v>
      </c>
      <c r="L113" s="75">
        <f t="shared" si="51"/>
        <v>7.4601237955608513</v>
      </c>
      <c r="M113" s="75">
        <f t="shared" si="51"/>
        <v>7.5548555262981312</v>
      </c>
      <c r="N113" s="75">
        <f t="shared" si="51"/>
        <v>7.9902719691675594</v>
      </c>
      <c r="O113" s="75">
        <f t="shared" si="51"/>
        <v>8.0892227056278401</v>
      </c>
      <c r="P113" s="75">
        <f t="shared" si="51"/>
        <v>8.1881734420881163</v>
      </c>
      <c r="Q113" s="75">
        <f t="shared" si="51"/>
        <v>8.2871241785483978</v>
      </c>
      <c r="R113" s="75">
        <f t="shared" si="51"/>
        <v>8.7599122951445629</v>
      </c>
      <c r="S113" s="75">
        <f t="shared" si="51"/>
        <v>8.8632740921374165</v>
      </c>
      <c r="T113" s="75">
        <f t="shared" si="51"/>
        <v>8.9666358891302753</v>
      </c>
      <c r="U113" s="75">
        <f t="shared" si="51"/>
        <v>9.0699976861231306</v>
      </c>
      <c r="V113" s="75">
        <f t="shared" ref="V113" si="58">V93-W9</f>
        <v>8.8612087669834185</v>
      </c>
      <c r="W113" s="75">
        <f t="shared" si="52"/>
        <v>8.8752059399160803</v>
      </c>
      <c r="X113" s="75">
        <f t="shared" si="52"/>
        <v>8.889231107194604</v>
      </c>
      <c r="Y113" s="75">
        <f t="shared" si="52"/>
        <v>8.9032843248076876</v>
      </c>
      <c r="Z113" s="75">
        <f t="shared" si="52"/>
        <v>8.6992117770774744</v>
      </c>
      <c r="AA113" s="75">
        <f t="shared" si="52"/>
        <v>8.726365298792043</v>
      </c>
      <c r="AB113" s="75">
        <f t="shared" si="52"/>
        <v>8.7536274345934686</v>
      </c>
      <c r="AC113" s="75">
        <f t="shared" si="52"/>
        <v>8.7809986189381011</v>
      </c>
      <c r="AD113" s="75">
        <f t="shared" si="52"/>
        <v>8.5783679338516361</v>
      </c>
      <c r="AE113" s="75">
        <f t="shared" si="52"/>
        <v>8.6180764124959079</v>
      </c>
      <c r="AF113" s="75">
        <f t="shared" si="52"/>
        <v>8.6744975452858899</v>
      </c>
      <c r="AG113" s="75">
        <f t="shared" si="52"/>
        <v>8.7148038015987677</v>
      </c>
      <c r="AH113" s="75">
        <f t="shared" si="52"/>
        <v>8.7731290447449499</v>
      </c>
      <c r="AI113" s="75">
        <f t="shared" si="52"/>
        <v>8.8236062272934923</v>
      </c>
      <c r="AJ113" s="75">
        <f t="shared" si="52"/>
        <v>8.8744569409928946</v>
      </c>
      <c r="AK113" s="75">
        <f t="shared" si="52"/>
        <v>8.9663411970495215</v>
      </c>
      <c r="AL113" s="75">
        <f t="shared" si="52"/>
        <v>9.0388267812937055</v>
      </c>
      <c r="AM113" s="75">
        <f t="shared" si="52"/>
        <v>9.1901426396515351</v>
      </c>
      <c r="AN113" s="75">
        <f t="shared" si="52"/>
        <v>9.2861872983840943</v>
      </c>
      <c r="AO113" s="75">
        <f t="shared" si="52"/>
        <v>9.382721784876189</v>
      </c>
    </row>
    <row r="114" spans="2:42">
      <c r="B114" s="75">
        <f t="shared" si="53"/>
        <v>-3.5699999999999985</v>
      </c>
      <c r="C114" s="75">
        <f t="shared" si="51"/>
        <v>-3.6271199999999988</v>
      </c>
      <c r="D114" s="75">
        <f t="shared" si="51"/>
        <v>-3.6842400000000008</v>
      </c>
      <c r="E114" s="75">
        <f t="shared" si="51"/>
        <v>-3.7413599999999967</v>
      </c>
      <c r="F114" s="75">
        <f t="shared" si="51"/>
        <v>-4.1598198352941189</v>
      </c>
      <c r="G114" s="75">
        <f t="shared" si="51"/>
        <v>-4.2223735170278633</v>
      </c>
      <c r="H114" s="75">
        <f t="shared" si="51"/>
        <v>-4.2849271987616104</v>
      </c>
      <c r="I114" s="75">
        <f t="shared" si="51"/>
        <v>-4.3474808804953549</v>
      </c>
      <c r="J114" s="75">
        <f t="shared" si="51"/>
        <v>-4.8183662315332816</v>
      </c>
      <c r="K114" s="75">
        <f t="shared" si="51"/>
        <v>-4.886711851838716</v>
      </c>
      <c r="L114" s="75">
        <f t="shared" si="51"/>
        <v>-4.955057472144154</v>
      </c>
      <c r="M114" s="75">
        <f t="shared" si="51"/>
        <v>-5.023403092449592</v>
      </c>
      <c r="N114" s="75">
        <f t="shared" si="51"/>
        <v>-5.5514989570840196</v>
      </c>
      <c r="O114" s="75">
        <f t="shared" si="51"/>
        <v>-5.6260157216086384</v>
      </c>
      <c r="P114" s="75">
        <f t="shared" si="51"/>
        <v>-5.7005324861332562</v>
      </c>
      <c r="Q114" s="75">
        <f t="shared" si="51"/>
        <v>-5.7750492506578714</v>
      </c>
      <c r="R114" s="75">
        <f t="shared" si="51"/>
        <v>-6.3655040179166091</v>
      </c>
      <c r="S114" s="75">
        <f t="shared" si="51"/>
        <v>-6.4465932410747806</v>
      </c>
      <c r="T114" s="75">
        <f t="shared" si="51"/>
        <v>-6.5276824642329538</v>
      </c>
      <c r="U114" s="75">
        <f t="shared" si="51"/>
        <v>-6.6087716873911289</v>
      </c>
      <c r="V114" s="75">
        <f t="shared" ref="V114" si="59">V94-W10</f>
        <v>-6.6765459994000063</v>
      </c>
      <c r="W114" s="75">
        <f t="shared" si="52"/>
        <v>-6.711245649756596</v>
      </c>
      <c r="X114" s="75">
        <f t="shared" si="52"/>
        <v>-6.7460146994139016</v>
      </c>
      <c r="Y114" s="75">
        <f t="shared" si="52"/>
        <v>-6.7808532871705172</v>
      </c>
      <c r="Z114" s="75">
        <f t="shared" si="52"/>
        <v>-6.8842582655156717</v>
      </c>
      <c r="AA114" s="75">
        <f t="shared" si="52"/>
        <v>-6.954488415293314</v>
      </c>
      <c r="AB114" s="75">
        <f t="shared" si="52"/>
        <v>-7.0249994856700688</v>
      </c>
      <c r="AC114" s="75">
        <f t="shared" si="52"/>
        <v>-7.0957926003283296</v>
      </c>
      <c r="AD114" s="75">
        <f t="shared" si="52"/>
        <v>-7.2366499282809524</v>
      </c>
      <c r="AE114" s="75">
        <f t="shared" si="52"/>
        <v>-7.3441095029240131</v>
      </c>
      <c r="AF114" s="75">
        <f t="shared" si="52"/>
        <v>-7.43152488626865</v>
      </c>
      <c r="AG114" s="75">
        <f t="shared" si="52"/>
        <v>-7.5400667106596355</v>
      </c>
      <c r="AH114" s="75">
        <f t="shared" si="52"/>
        <v>-7.6801646584929006</v>
      </c>
      <c r="AI114" s="75">
        <f t="shared" si="52"/>
        <v>-7.8157226228895649</v>
      </c>
      <c r="AJ114" s="75">
        <f t="shared" si="52"/>
        <v>-7.9522837162227642</v>
      </c>
      <c r="AK114" s="75">
        <f t="shared" si="52"/>
        <v>-7.9956240777825514</v>
      </c>
      <c r="AL114" s="75">
        <f t="shared" si="52"/>
        <v>-8.1426061331416975</v>
      </c>
      <c r="AM114" s="75">
        <f t="shared" si="52"/>
        <v>-8.0768117991067463</v>
      </c>
      <c r="AN114" s="75">
        <f t="shared" si="52"/>
        <v>-8.035050185833013</v>
      </c>
      <c r="AO114" s="75">
        <f t="shared" si="52"/>
        <v>-7.9930755883315836</v>
      </c>
    </row>
    <row r="115" spans="2:42">
      <c r="B115" s="75">
        <f t="shared" si="53"/>
        <v>5.2799999999999994</v>
      </c>
      <c r="C115" s="75">
        <f t="shared" si="51"/>
        <v>5.3644799999999986</v>
      </c>
      <c r="D115" s="75">
        <f t="shared" si="51"/>
        <v>5.4489599999999978</v>
      </c>
      <c r="E115" s="75">
        <f t="shared" si="51"/>
        <v>5.5334400000000006</v>
      </c>
      <c r="F115" s="75">
        <f t="shared" si="51"/>
        <v>6.0811274438502654</v>
      </c>
      <c r="G115" s="75">
        <f t="shared" si="51"/>
        <v>6.1725729693217009</v>
      </c>
      <c r="H115" s="75">
        <f t="shared" si="51"/>
        <v>6.2640184947931328</v>
      </c>
      <c r="I115" s="75">
        <f t="shared" si="51"/>
        <v>6.3554640202645647</v>
      </c>
      <c r="J115" s="75">
        <f t="shared" si="51"/>
        <v>6.9684837546590241</v>
      </c>
      <c r="K115" s="75">
        <f t="shared" si="51"/>
        <v>7.0673274958598604</v>
      </c>
      <c r="L115" s="75">
        <f t="shared" si="51"/>
        <v>7.1661712370607002</v>
      </c>
      <c r="M115" s="75">
        <f t="shared" si="51"/>
        <v>7.2650149782615348</v>
      </c>
      <c r="N115" s="75">
        <f t="shared" si="51"/>
        <v>7.9490666257132006</v>
      </c>
      <c r="O115" s="75">
        <f t="shared" si="51"/>
        <v>8.0557655065952538</v>
      </c>
      <c r="P115" s="75">
        <f t="shared" si="51"/>
        <v>8.1624643874773124</v>
      </c>
      <c r="Q115" s="75">
        <f t="shared" si="51"/>
        <v>8.2691632683593692</v>
      </c>
      <c r="R115" s="75">
        <f t="shared" si="51"/>
        <v>8.9975397516054976</v>
      </c>
      <c r="S115" s="75">
        <f t="shared" si="51"/>
        <v>8.9975397516054976</v>
      </c>
      <c r="T115" s="75">
        <f t="shared" si="51"/>
        <v>8.9975397516054976</v>
      </c>
      <c r="U115" s="75">
        <f t="shared" si="51"/>
        <v>8.9975397516054976</v>
      </c>
      <c r="V115" s="75">
        <f t="shared" ref="V115" si="60">V95-W11</f>
        <v>9.0407397516054964</v>
      </c>
      <c r="W115" s="75">
        <f t="shared" si="52"/>
        <v>9.0840261516054959</v>
      </c>
      <c r="X115" s="75">
        <f t="shared" si="52"/>
        <v>9.1273991244054962</v>
      </c>
      <c r="Y115" s="75">
        <f t="shared" si="52"/>
        <v>9.1708588431510947</v>
      </c>
      <c r="Z115" s="75">
        <f t="shared" si="52"/>
        <v>9.2579521195172774</v>
      </c>
      <c r="AA115" s="75">
        <f t="shared" si="52"/>
        <v>9.3453937689889237</v>
      </c>
      <c r="AB115" s="75">
        <f t="shared" si="52"/>
        <v>9.4331851850584592</v>
      </c>
      <c r="AC115" s="75">
        <f t="shared" si="52"/>
        <v>9.5213277667922718</v>
      </c>
      <c r="AD115" s="75">
        <f t="shared" si="52"/>
        <v>9.654070494883392</v>
      </c>
      <c r="AE115" s="75">
        <f t="shared" si="52"/>
        <v>9.7876096793430598</v>
      </c>
      <c r="AF115" s="75">
        <f t="shared" si="52"/>
        <v>9.9442500989094835</v>
      </c>
      <c r="AG115" s="75">
        <f t="shared" si="52"/>
        <v>10.079396560993308</v>
      </c>
      <c r="AH115" s="75">
        <f t="shared" si="52"/>
        <v>10.278297281382773</v>
      </c>
      <c r="AI115" s="75">
        <f t="shared" si="52"/>
        <v>10.447218839103122</v>
      </c>
      <c r="AJ115" s="75">
        <f t="shared" si="52"/>
        <v>10.617390416350602</v>
      </c>
      <c r="AK115" s="75">
        <f t="shared" si="52"/>
        <v>10.788821263269714</v>
      </c>
      <c r="AL115" s="75">
        <f t="shared" si="52"/>
        <v>11.017997131514196</v>
      </c>
      <c r="AM115" s="75">
        <f t="shared" si="52"/>
        <v>11.208564190291458</v>
      </c>
      <c r="AN115" s="75">
        <f t="shared" si="52"/>
        <v>11.32952274892876</v>
      </c>
      <c r="AO115" s="75">
        <f t="shared" si="52"/>
        <v>11.45109819621511</v>
      </c>
    </row>
    <row r="116" spans="2:42">
      <c r="B116" s="75">
        <f t="shared" si="53"/>
        <v>2.8349999999999991</v>
      </c>
      <c r="C116" s="75">
        <f t="shared" si="51"/>
        <v>2.8853999999999997</v>
      </c>
      <c r="D116" s="75">
        <f t="shared" si="51"/>
        <v>2.9357999999999991</v>
      </c>
      <c r="E116" s="75">
        <f t="shared" si="51"/>
        <v>2.9861999999999993</v>
      </c>
      <c r="F116" s="75">
        <f t="shared" si="51"/>
        <v>3.1680909113800535</v>
      </c>
      <c r="G116" s="75">
        <f t="shared" si="51"/>
        <v>3.2206733331456969</v>
      </c>
      <c r="H116" s="75">
        <f t="shared" si="51"/>
        <v>3.2732557549113408</v>
      </c>
      <c r="I116" s="75">
        <f t="shared" si="51"/>
        <v>3.3258381766769864</v>
      </c>
      <c r="J116" s="75">
        <f t="shared" si="51"/>
        <v>3.5248538796303235</v>
      </c>
      <c r="K116" s="75">
        <f t="shared" si="51"/>
        <v>3.5797154186128957</v>
      </c>
      <c r="L116" s="75">
        <f t="shared" si="51"/>
        <v>3.6345769575954705</v>
      </c>
      <c r="M116" s="75">
        <f t="shared" si="51"/>
        <v>3.6894384965780427</v>
      </c>
      <c r="N116" s="75">
        <f t="shared" si="51"/>
        <v>3.9067459843447336</v>
      </c>
      <c r="O116" s="75">
        <f t="shared" si="51"/>
        <v>3.9639876837490524</v>
      </c>
      <c r="P116" s="75">
        <f t="shared" si="51"/>
        <v>4.0212293831533703</v>
      </c>
      <c r="Q116" s="75">
        <f t="shared" si="51"/>
        <v>4.07847108255769</v>
      </c>
      <c r="R116" s="75">
        <f t="shared" si="51"/>
        <v>4.3153081041507786</v>
      </c>
      <c r="S116" s="75">
        <f t="shared" si="51"/>
        <v>4.375035551959094</v>
      </c>
      <c r="T116" s="75">
        <f t="shared" si="51"/>
        <v>4.4347629997674076</v>
      </c>
      <c r="U116" s="75">
        <f t="shared" si="51"/>
        <v>4.494490447575723</v>
      </c>
      <c r="V116" s="75">
        <f t="shared" ref="V116" si="61">V96-W12</f>
        <v>4.4927184483692955</v>
      </c>
      <c r="W116" s="75">
        <f t="shared" si="52"/>
        <v>4.4995894505313023</v>
      </c>
      <c r="X116" s="75">
        <f t="shared" si="52"/>
        <v>4.5064741946976312</v>
      </c>
      <c r="Y116" s="75">
        <f t="shared" si="52"/>
        <v>4.5133727083522945</v>
      </c>
      <c r="Z116" s="75">
        <f t="shared" si="52"/>
        <v>4.5184523069905218</v>
      </c>
      <c r="AA116" s="75">
        <f t="shared" si="52"/>
        <v>4.5322972467490201</v>
      </c>
      <c r="AB116" s="75">
        <f t="shared" si="52"/>
        <v>4.5461975662665504</v>
      </c>
      <c r="AC116" s="75">
        <f t="shared" si="52"/>
        <v>4.560153487062153</v>
      </c>
      <c r="AD116" s="75">
        <f t="shared" si="52"/>
        <v>4.572255690046509</v>
      </c>
      <c r="AE116" s="75">
        <f t="shared" si="52"/>
        <v>4.5933459199825917</v>
      </c>
      <c r="AF116" s="75">
        <f t="shared" si="52"/>
        <v>4.6333886909859396</v>
      </c>
      <c r="AG116" s="75">
        <f t="shared" si="52"/>
        <v>4.6548667189276607</v>
      </c>
      <c r="AH116" s="75">
        <f t="shared" si="52"/>
        <v>4.6992083222957328</v>
      </c>
      <c r="AI116" s="75">
        <f t="shared" si="52"/>
        <v>4.7262212153622096</v>
      </c>
      <c r="AJ116" s="75">
        <f t="shared" si="52"/>
        <v>4.753434003837377</v>
      </c>
      <c r="AK116" s="75">
        <f t="shared" si="52"/>
        <v>4.8052667247385736</v>
      </c>
      <c r="AL116" s="75">
        <f t="shared" si="52"/>
        <v>4.8619921885906319</v>
      </c>
      <c r="AM116" s="75">
        <f t="shared" si="52"/>
        <v>4.9491450270248212</v>
      </c>
      <c r="AN116" s="75">
        <f t="shared" si="52"/>
        <v>5.0044635158853268</v>
      </c>
      <c r="AO116" s="75">
        <f t="shared" si="52"/>
        <v>5.06006412903902</v>
      </c>
    </row>
    <row r="117" spans="2:42">
      <c r="B117" s="75">
        <f t="shared" si="53"/>
        <v>0</v>
      </c>
      <c r="C117" s="75">
        <f t="shared" si="51"/>
        <v>0</v>
      </c>
      <c r="D117" s="75">
        <f t="shared" si="51"/>
        <v>0</v>
      </c>
      <c r="E117" s="75">
        <f t="shared" si="51"/>
        <v>0</v>
      </c>
      <c r="F117" s="75">
        <f t="shared" si="51"/>
        <v>0</v>
      </c>
      <c r="G117" s="75">
        <f t="shared" si="51"/>
        <v>0</v>
      </c>
      <c r="H117" s="75">
        <f t="shared" si="51"/>
        <v>0</v>
      </c>
      <c r="I117" s="75">
        <f t="shared" si="51"/>
        <v>0</v>
      </c>
      <c r="J117" s="75">
        <f t="shared" si="51"/>
        <v>7.4452907827245998</v>
      </c>
      <c r="K117" s="75">
        <f t="shared" si="51"/>
        <v>7.5199842325831492</v>
      </c>
      <c r="L117" s="75">
        <f t="shared" si="51"/>
        <v>7.5946776824416995</v>
      </c>
      <c r="M117" s="75">
        <f t="shared" si="51"/>
        <v>7.6693711323002507</v>
      </c>
      <c r="N117" s="75">
        <f t="shared" si="51"/>
        <v>8.2627268350043881</v>
      </c>
      <c r="O117" s="75">
        <f t="shared" si="51"/>
        <v>8.3438131361446786</v>
      </c>
      <c r="P117" s="75">
        <f t="shared" si="51"/>
        <v>8.4248994372849708</v>
      </c>
      <c r="Q117" s="75">
        <f t="shared" si="51"/>
        <v>8.5059857384252595</v>
      </c>
      <c r="R117" s="75">
        <f t="shared" si="51"/>
        <v>9.1622059352145868</v>
      </c>
      <c r="S117" s="75">
        <f t="shared" si="51"/>
        <v>9.25007373377648</v>
      </c>
      <c r="T117" s="75">
        <f t="shared" si="51"/>
        <v>9.3379415323383768</v>
      </c>
      <c r="U117" s="75">
        <f t="shared" si="51"/>
        <v>9.42580933090027</v>
      </c>
      <c r="V117" s="75">
        <f t="shared" ref="V117" si="62">V97-W13</f>
        <v>9.4338047293036666</v>
      </c>
      <c r="W117" s="75">
        <f t="shared" si="52"/>
        <v>9.4508838587622748</v>
      </c>
      <c r="X117" s="75">
        <f t="shared" si="52"/>
        <v>9.4679971464797994</v>
      </c>
      <c r="Y117" s="75">
        <f t="shared" si="52"/>
        <v>9.4851446607727592</v>
      </c>
      <c r="Z117" s="75">
        <f t="shared" si="52"/>
        <v>9.5103372647196593</v>
      </c>
      <c r="AA117" s="75">
        <f t="shared" si="52"/>
        <v>9.5448016537785385</v>
      </c>
      <c r="AB117" s="75">
        <f t="shared" si="52"/>
        <v>9.579403900393654</v>
      </c>
      <c r="AC117" s="75">
        <f t="shared" si="52"/>
        <v>9.6141445559952281</v>
      </c>
      <c r="AD117" s="75">
        <f t="shared" si="52"/>
        <v>9.6440300105572625</v>
      </c>
      <c r="AE117" s="75">
        <f t="shared" si="52"/>
        <v>9.6833429381225606</v>
      </c>
      <c r="AF117" s="75">
        <f t="shared" si="52"/>
        <v>9.7227896574982609</v>
      </c>
      <c r="AG117" s="75">
        <f t="shared" si="52"/>
        <v>9.7623704280406951</v>
      </c>
      <c r="AH117" s="75">
        <f t="shared" si="52"/>
        <v>9.8047633671957648</v>
      </c>
      <c r="AI117" s="75">
        <f t="shared" si="52"/>
        <v>9.8570265424612877</v>
      </c>
      <c r="AJ117" s="75">
        <f t="shared" si="52"/>
        <v>9.9335548144142614</v>
      </c>
      <c r="AK117" s="75">
        <f t="shared" si="52"/>
        <v>10.026475263746713</v>
      </c>
      <c r="AL117" s="75">
        <f t="shared" si="52"/>
        <v>10.090378442384973</v>
      </c>
      <c r="AM117" s="75">
        <f t="shared" si="52"/>
        <v>10.225244160756278</v>
      </c>
      <c r="AN117" s="75">
        <f t="shared" si="52"/>
        <v>10.338701824174457</v>
      </c>
      <c r="AO117" s="75">
        <f t="shared" si="52"/>
        <v>10.424741668310116</v>
      </c>
    </row>
    <row r="118" spans="2:42">
      <c r="B118" s="75">
        <f t="shared" si="53"/>
        <v>0</v>
      </c>
      <c r="C118" s="75">
        <f t="shared" si="51"/>
        <v>0</v>
      </c>
      <c r="D118" s="75">
        <f t="shared" si="51"/>
        <v>0</v>
      </c>
      <c r="E118" s="75">
        <f t="shared" si="51"/>
        <v>0</v>
      </c>
      <c r="F118" s="75">
        <f t="shared" si="51"/>
        <v>0</v>
      </c>
      <c r="G118" s="75">
        <f t="shared" si="51"/>
        <v>0</v>
      </c>
      <c r="H118" s="75">
        <f t="shared" si="51"/>
        <v>0</v>
      </c>
      <c r="I118" s="75">
        <f t="shared" si="51"/>
        <v>0</v>
      </c>
      <c r="J118" s="75">
        <f t="shared" si="51"/>
        <v>-5.8222462807148947</v>
      </c>
      <c r="K118" s="75">
        <f t="shared" si="51"/>
        <v>-5.921287752265922</v>
      </c>
      <c r="L118" s="75">
        <f t="shared" si="51"/>
        <v>-6.0203292238169492</v>
      </c>
      <c r="M118" s="75">
        <f t="shared" si="51"/>
        <v>-6.1193706953679765</v>
      </c>
      <c r="N118" s="75">
        <f t="shared" si="51"/>
        <v>-5.6699436847049505</v>
      </c>
      <c r="O118" s="75">
        <f t="shared" si="51"/>
        <v>-5.7629909651935325</v>
      </c>
      <c r="P118" s="75">
        <f t="shared" si="51"/>
        <v>-5.8560382456821074</v>
      </c>
      <c r="Q118" s="75">
        <f t="shared" si="51"/>
        <v>-5.9490855261706859</v>
      </c>
      <c r="R118" s="75">
        <f t="shared" si="51"/>
        <v>-5.436772645072228</v>
      </c>
      <c r="S118" s="75">
        <f t="shared" si="51"/>
        <v>-5.5192333721452354</v>
      </c>
      <c r="T118" s="75">
        <f t="shared" si="51"/>
        <v>-5.6016940992182427</v>
      </c>
      <c r="U118" s="75">
        <f t="shared" si="51"/>
        <v>-5.6841548262912518</v>
      </c>
      <c r="V118" s="75">
        <f t="shared" ref="V118" si="63">V98-W14</f>
        <v>-5.872749599444635</v>
      </c>
      <c r="W118" s="75">
        <f t="shared" si="52"/>
        <v>-6.0612922968643215</v>
      </c>
      <c r="X118" s="75">
        <f t="shared" si="52"/>
        <v>-6.2497828143988521</v>
      </c>
      <c r="Y118" s="75">
        <f t="shared" si="52"/>
        <v>-6.4382210476884509</v>
      </c>
      <c r="Z118" s="75">
        <f t="shared" si="52"/>
        <v>-6.1324609414408044</v>
      </c>
      <c r="AA118" s="75">
        <f t="shared" si="52"/>
        <v>-6.0797573760289669</v>
      </c>
      <c r="AB118" s="75">
        <f t="shared" si="52"/>
        <v>-6.0268429963554819</v>
      </c>
      <c r="AC118" s="75">
        <f t="shared" si="52"/>
        <v>-6.3446883602430812</v>
      </c>
      <c r="AD118" s="75">
        <f t="shared" si="52"/>
        <v>-6.2646805482316612</v>
      </c>
      <c r="AE118" s="75">
        <f t="shared" si="52"/>
        <v>-6.2271192173481751</v>
      </c>
      <c r="AF118" s="75">
        <f t="shared" si="52"/>
        <v>-6.1890749593113839</v>
      </c>
      <c r="AG118" s="75">
        <f t="shared" si="52"/>
        <v>-6.1505448765583726</v>
      </c>
      <c r="AH118" s="75">
        <f t="shared" si="52"/>
        <v>-6.0924054723767593</v>
      </c>
      <c r="AI118" s="75">
        <f t="shared" si="52"/>
        <v>-6.0335181802969977</v>
      </c>
      <c r="AJ118" s="75">
        <f t="shared" si="52"/>
        <v>-5.8733431912688658</v>
      </c>
      <c r="AK118" s="75">
        <f t="shared" si="52"/>
        <v>-5.770016951327138</v>
      </c>
      <c r="AL118" s="75">
        <f t="shared" si="52"/>
        <v>-5.6560796650636078</v>
      </c>
      <c r="AM118" s="75">
        <f t="shared" si="52"/>
        <v>-5.5412194867813422</v>
      </c>
      <c r="AN118" s="75">
        <f t="shared" si="52"/>
        <v>-5.4683143283610463</v>
      </c>
      <c r="AO118" s="75">
        <f t="shared" si="52"/>
        <v>-5.3950373536328069</v>
      </c>
    </row>
    <row r="119" spans="2:42">
      <c r="B119" s="75">
        <f t="shared" si="53"/>
        <v>0</v>
      </c>
      <c r="C119" s="75">
        <f t="shared" si="51"/>
        <v>0</v>
      </c>
      <c r="D119" s="75">
        <f t="shared" si="51"/>
        <v>0</v>
      </c>
      <c r="E119" s="75">
        <f t="shared" si="51"/>
        <v>0</v>
      </c>
      <c r="F119" s="75">
        <f t="shared" si="51"/>
        <v>0</v>
      </c>
      <c r="G119" s="75">
        <f t="shared" si="51"/>
        <v>0</v>
      </c>
      <c r="H119" s="75">
        <f t="shared" si="51"/>
        <v>0</v>
      </c>
      <c r="I119" s="75">
        <f t="shared" si="51"/>
        <v>0</v>
      </c>
      <c r="J119" s="75">
        <f t="shared" si="51"/>
        <v>-5.8596904834613692</v>
      </c>
      <c r="K119" s="75">
        <f t="shared" si="51"/>
        <v>-5.9596710677115858</v>
      </c>
      <c r="L119" s="75">
        <f t="shared" si="51"/>
        <v>-6.0596516519618042</v>
      </c>
      <c r="M119" s="75">
        <f t="shared" si="51"/>
        <v>-6.1596322362120191</v>
      </c>
      <c r="N119" s="75">
        <f t="shared" si="51"/>
        <v>-6.1673686012762499</v>
      </c>
      <c r="O119" s="75">
        <f t="shared" si="51"/>
        <v>-6.2671867592268296</v>
      </c>
      <c r="P119" s="75">
        <f t="shared" si="51"/>
        <v>-6.3670049171774057</v>
      </c>
      <c r="Q119" s="75">
        <f t="shared" si="51"/>
        <v>-6.4668230751279712</v>
      </c>
      <c r="R119" s="75">
        <f t="shared" si="51"/>
        <v>-6.4497612490813516</v>
      </c>
      <c r="S119" s="75">
        <f t="shared" si="51"/>
        <v>-6.5446340405587886</v>
      </c>
      <c r="T119" s="75">
        <f t="shared" si="51"/>
        <v>-6.6395068320362256</v>
      </c>
      <c r="U119" s="75">
        <f t="shared" si="51"/>
        <v>-6.7343796235136733</v>
      </c>
      <c r="V119" s="75">
        <f t="shared" ref="V119" si="64">V99-W15</f>
        <v>-7.027103998936985</v>
      </c>
      <c r="W119" s="75">
        <f t="shared" si="52"/>
        <v>-7.2856334933325275</v>
      </c>
      <c r="X119" s="75">
        <f t="shared" si="52"/>
        <v>-7.5454389078496611</v>
      </c>
      <c r="Y119" s="75">
        <f t="shared" si="52"/>
        <v>-7.8065240160508846</v>
      </c>
      <c r="Z119" s="75">
        <f t="shared" si="52"/>
        <v>-7.6258548946603586</v>
      </c>
      <c r="AA119" s="75">
        <f t="shared" si="52"/>
        <v>-7.6829864742390086</v>
      </c>
      <c r="AB119" s="75">
        <f t="shared" si="52"/>
        <v>-7.740346580135963</v>
      </c>
      <c r="AC119" s="75">
        <f t="shared" si="52"/>
        <v>-7.9868332139676514</v>
      </c>
      <c r="AD119" s="75">
        <f t="shared" si="52"/>
        <v>-7.905154213251457</v>
      </c>
      <c r="AE119" s="75">
        <f t="shared" si="52"/>
        <v>-7.8229851385309654</v>
      </c>
      <c r="AF119" s="75">
        <f t="shared" si="52"/>
        <v>-7.7403230493621518</v>
      </c>
      <c r="AG119" s="75">
        <f t="shared" si="52"/>
        <v>-7.6571649876583248</v>
      </c>
      <c r="AH119" s="75">
        <f t="shared" si="52"/>
        <v>-7.5539880085669981</v>
      </c>
      <c r="AI119" s="75">
        <f t="shared" si="52"/>
        <v>-7.4500475198303953</v>
      </c>
      <c r="AJ119" s="75">
        <f t="shared" si="52"/>
        <v>-7.3453378714771418</v>
      </c>
      <c r="AK119" s="75">
        <f t="shared" si="52"/>
        <v>-7.239853371726074</v>
      </c>
      <c r="AL119" s="75">
        <f t="shared" si="52"/>
        <v>-7.1235361840370555</v>
      </c>
      <c r="AM119" s="75">
        <f t="shared" si="52"/>
        <v>-7.0062768271277562</v>
      </c>
      <c r="AN119" s="75">
        <f t="shared" si="52"/>
        <v>-6.9318488389461059</v>
      </c>
      <c r="AO119" s="75">
        <f t="shared" si="52"/>
        <v>-6.8570412680247301</v>
      </c>
    </row>
    <row r="120" spans="2:42">
      <c r="B120" s="75">
        <f t="shared" si="53"/>
        <v>0</v>
      </c>
      <c r="C120" s="75">
        <f t="shared" si="51"/>
        <v>0</v>
      </c>
      <c r="D120" s="75">
        <f t="shared" si="51"/>
        <v>0</v>
      </c>
      <c r="E120" s="75">
        <f t="shared" si="51"/>
        <v>0</v>
      </c>
      <c r="F120" s="75">
        <f t="shared" si="51"/>
        <v>0</v>
      </c>
      <c r="G120" s="75">
        <f t="shared" si="51"/>
        <v>0</v>
      </c>
      <c r="H120" s="75">
        <f t="shared" si="51"/>
        <v>0</v>
      </c>
      <c r="I120" s="75">
        <f t="shared" si="51"/>
        <v>0</v>
      </c>
      <c r="J120" s="75">
        <f t="shared" si="51"/>
        <v>2.1563442169837597</v>
      </c>
      <c r="K120" s="75">
        <f t="shared" si="51"/>
        <v>2.1998441524521466</v>
      </c>
      <c r="L120" s="75">
        <f t="shared" si="51"/>
        <v>2.2433440879205317</v>
      </c>
      <c r="M120" s="75">
        <f t="shared" si="51"/>
        <v>2.2868440233889173</v>
      </c>
      <c r="N120" s="75">
        <f t="shared" si="51"/>
        <v>2.4426355792738361</v>
      </c>
      <c r="O120" s="75">
        <f t="shared" si="51"/>
        <v>2.4881116502356457</v>
      </c>
      <c r="P120" s="75">
        <f t="shared" si="51"/>
        <v>2.533587721197454</v>
      </c>
      <c r="Q120" s="75">
        <f t="shared" si="51"/>
        <v>2.5790637921592641</v>
      </c>
      <c r="R120" s="75">
        <f t="shared" si="51"/>
        <v>2.7504658309116952</v>
      </c>
      <c r="S120" s="75">
        <f t="shared" si="51"/>
        <v>2.7980093247795601</v>
      </c>
      <c r="T120" s="75">
        <f t="shared" si="51"/>
        <v>2.8455528186474268</v>
      </c>
      <c r="U120" s="75">
        <f t="shared" si="51"/>
        <v>2.8930963125152926</v>
      </c>
      <c r="V120" s="75">
        <f t="shared" ref="V120" si="65">V100-W16</f>
        <v>2.892533321216161</v>
      </c>
      <c r="W120" s="75">
        <f t="shared" si="52"/>
        <v>2.8972467871263481</v>
      </c>
      <c r="X120" s="75">
        <f t="shared" si="52"/>
        <v>2.901969679968357</v>
      </c>
      <c r="Y120" s="75">
        <f t="shared" si="52"/>
        <v>2.9067020185960493</v>
      </c>
      <c r="Z120" s="75">
        <f t="shared" si="52"/>
        <v>2.9108479344876232</v>
      </c>
      <c r="AA120" s="75">
        <f t="shared" si="52"/>
        <v>2.9203481247610839</v>
      </c>
      <c r="AB120" s="75">
        <f t="shared" si="52"/>
        <v>2.9298863157956392</v>
      </c>
      <c r="AC120" s="75">
        <f t="shared" si="52"/>
        <v>2.9394626595943332</v>
      </c>
      <c r="AD120" s="75">
        <f t="shared" si="52"/>
        <v>2.9484429412487443</v>
      </c>
      <c r="AE120" s="75">
        <f t="shared" si="52"/>
        <v>2.9629187966995039</v>
      </c>
      <c r="AF120" s="75">
        <f t="shared" si="52"/>
        <v>2.9774815072829655</v>
      </c>
      <c r="AG120" s="75">
        <f t="shared" si="52"/>
        <v>2.9921315941299298</v>
      </c>
      <c r="AH120" s="75">
        <f t="shared" si="52"/>
        <v>3.0047197388172213</v>
      </c>
      <c r="AI120" s="75">
        <f t="shared" si="52"/>
        <v>3.0229897421751639</v>
      </c>
      <c r="AJ120" s="75">
        <f t="shared" si="52"/>
        <v>3.0413949435579553</v>
      </c>
      <c r="AK120" s="75">
        <f t="shared" si="52"/>
        <v>3.063004367858932</v>
      </c>
      <c r="AL120" s="75">
        <f t="shared" si="52"/>
        <v>3.0776948951451839</v>
      </c>
      <c r="AM120" s="75">
        <f t="shared" si="52"/>
        <v>3.1331778932902896</v>
      </c>
      <c r="AN120" s="75">
        <f t="shared" si="52"/>
        <v>3.168394596153675</v>
      </c>
      <c r="AO120" s="75">
        <f t="shared" si="52"/>
        <v>3.2037909042016635</v>
      </c>
    </row>
    <row r="121" spans="2:42">
      <c r="B121" s="75">
        <f t="shared" si="53"/>
        <v>0</v>
      </c>
      <c r="C121" s="75">
        <f t="shared" si="51"/>
        <v>0</v>
      </c>
      <c r="D121" s="75">
        <f t="shared" si="51"/>
        <v>0</v>
      </c>
      <c r="E121" s="75">
        <f t="shared" si="51"/>
        <v>0</v>
      </c>
      <c r="F121" s="75">
        <f t="shared" si="51"/>
        <v>0</v>
      </c>
      <c r="G121" s="75">
        <f t="shared" si="51"/>
        <v>0</v>
      </c>
      <c r="H121" s="75">
        <f t="shared" si="51"/>
        <v>0</v>
      </c>
      <c r="I121" s="75">
        <f t="shared" si="51"/>
        <v>0</v>
      </c>
      <c r="J121" s="75">
        <f t="shared" si="51"/>
        <v>0</v>
      </c>
      <c r="K121" s="75">
        <f t="shared" si="51"/>
        <v>0</v>
      </c>
      <c r="L121" s="75">
        <f t="shared" si="51"/>
        <v>0</v>
      </c>
      <c r="M121" s="75">
        <f t="shared" si="51"/>
        <v>0</v>
      </c>
      <c r="N121" s="75">
        <f t="shared" si="51"/>
        <v>-6.8929310846550376</v>
      </c>
      <c r="O121" s="75">
        <f t="shared" si="51"/>
        <v>-6.9805168168328429</v>
      </c>
      <c r="P121" s="75">
        <f t="shared" si="51"/>
        <v>-7.0653863222046667</v>
      </c>
      <c r="Q121" s="75">
        <f t="shared" si="51"/>
        <v>-7.1502558275764976</v>
      </c>
      <c r="R121" s="75">
        <f t="shared" si="51"/>
        <v>-7.1751627121181247</v>
      </c>
      <c r="S121" s="75">
        <f t="shared" si="51"/>
        <v>-7.1939127494510817</v>
      </c>
      <c r="T121" s="75">
        <f t="shared" si="51"/>
        <v>-7.2126627867840423</v>
      </c>
      <c r="U121" s="75">
        <f t="shared" si="51"/>
        <v>-7.2314128241169993</v>
      </c>
      <c r="V121" s="75">
        <f t="shared" ref="V121" si="66">V101-W17</f>
        <v>-7.4502177063971882</v>
      </c>
      <c r="W121" s="75">
        <f t="shared" si="52"/>
        <v>-7.6013157587916211</v>
      </c>
      <c r="X121" s="75">
        <f t="shared" si="52"/>
        <v>-8.1680299240341778</v>
      </c>
      <c r="Y121" s="75">
        <f t="shared" si="52"/>
        <v>-8.1967192567618898</v>
      </c>
      <c r="Z121" s="75">
        <f t="shared" si="52"/>
        <v>-8.2996739075431876</v>
      </c>
      <c r="AA121" s="75">
        <f t="shared" si="52"/>
        <v>-8.3438862270605547</v>
      </c>
      <c r="AB121" s="75">
        <f t="shared" si="52"/>
        <v>-8.4019683177280804</v>
      </c>
      <c r="AC121" s="75">
        <f t="shared" si="52"/>
        <v>-8.4602827367583</v>
      </c>
      <c r="AD121" s="75">
        <f t="shared" si="52"/>
        <v>-8.6083633374584814</v>
      </c>
      <c r="AE121" s="75">
        <f t="shared" si="52"/>
        <v>-8.6690902604662448</v>
      </c>
      <c r="AF121" s="75">
        <f t="shared" si="52"/>
        <v>-8.758164620667964</v>
      </c>
      <c r="AG121" s="75">
        <f t="shared" si="52"/>
        <v>-8.8477734270308961</v>
      </c>
      <c r="AH121" s="75">
        <f t="shared" si="52"/>
        <v>-9.0063620272531626</v>
      </c>
      <c r="AI121" s="75">
        <f t="shared" si="52"/>
        <v>-9.0513763325367318</v>
      </c>
      <c r="AJ121" s="75">
        <f t="shared" si="52"/>
        <v>-9.118356517397503</v>
      </c>
      <c r="AK121" s="75">
        <f t="shared" si="52"/>
        <v>-9.0452477180860633</v>
      </c>
      <c r="AL121" s="75">
        <f t="shared" si="52"/>
        <v>-8.9646310402680367</v>
      </c>
      <c r="AM121" s="75">
        <f t="shared" si="52"/>
        <v>-8.8833613673596847</v>
      </c>
      <c r="AN121" s="75">
        <f t="shared" si="52"/>
        <v>-8.8317770979744434</v>
      </c>
      <c r="AO121" s="75">
        <f t="shared" si="52"/>
        <v>-8.7465872126847053</v>
      </c>
    </row>
    <row r="122" spans="2:42">
      <c r="B122" s="75">
        <f t="shared" si="53"/>
        <v>0</v>
      </c>
      <c r="C122" s="75">
        <f t="shared" si="51"/>
        <v>0</v>
      </c>
      <c r="D122" s="75">
        <f t="shared" si="51"/>
        <v>0</v>
      </c>
      <c r="E122" s="75">
        <f t="shared" si="51"/>
        <v>0</v>
      </c>
      <c r="F122" s="75">
        <f t="shared" si="51"/>
        <v>0</v>
      </c>
      <c r="G122" s="75">
        <f t="shared" ref="C122:U125" si="67">G102-H18</f>
        <v>0</v>
      </c>
      <c r="H122" s="75">
        <f t="shared" si="67"/>
        <v>0</v>
      </c>
      <c r="I122" s="75">
        <f t="shared" si="67"/>
        <v>0</v>
      </c>
      <c r="J122" s="75">
        <f t="shared" si="67"/>
        <v>0</v>
      </c>
      <c r="K122" s="75">
        <f t="shared" si="67"/>
        <v>0</v>
      </c>
      <c r="L122" s="75">
        <f t="shared" si="67"/>
        <v>0</v>
      </c>
      <c r="M122" s="75">
        <f t="shared" si="67"/>
        <v>0</v>
      </c>
      <c r="N122" s="75">
        <f t="shared" si="67"/>
        <v>2.3519433096953488</v>
      </c>
      <c r="O122" s="75">
        <f t="shared" si="67"/>
        <v>2.3870649390366383</v>
      </c>
      <c r="P122" s="75">
        <f t="shared" si="67"/>
        <v>2.4184736882344904</v>
      </c>
      <c r="Q122" s="75">
        <f t="shared" si="67"/>
        <v>2.4498824374323398</v>
      </c>
      <c r="R122" s="75">
        <f t="shared" si="67"/>
        <v>2.7737256357342961</v>
      </c>
      <c r="S122" s="75">
        <f t="shared" si="67"/>
        <v>2.7913400180973253</v>
      </c>
      <c r="T122" s="75">
        <f t="shared" si="67"/>
        <v>2.8089544004603519</v>
      </c>
      <c r="U122" s="75">
        <f t="shared" si="67"/>
        <v>2.8265687828233794</v>
      </c>
      <c r="V122" s="75">
        <f t="shared" ref="V122" si="68">V102-W18</f>
        <v>2.6519275024283591</v>
      </c>
      <c r="W122" s="75">
        <f t="shared" si="52"/>
        <v>2.655248977586548</v>
      </c>
      <c r="X122" s="75">
        <f t="shared" si="52"/>
        <v>2.6585770956947661</v>
      </c>
      <c r="Y122" s="75">
        <f t="shared" si="52"/>
        <v>2.6619118700393338</v>
      </c>
      <c r="Z122" s="75">
        <f t="shared" si="52"/>
        <v>2.6521685106969528</v>
      </c>
      <c r="AA122" s="75">
        <f t="shared" ref="AA122:AO122" si="69">AA102-AB18</f>
        <v>2.6637600106813277</v>
      </c>
      <c r="AB122" s="75">
        <f t="shared" si="69"/>
        <v>2.6704502910304306</v>
      </c>
      <c r="AC122" s="75">
        <f t="shared" si="69"/>
        <v>2.6771673325009182</v>
      </c>
      <c r="AD122" s="75">
        <f t="shared" si="69"/>
        <v>2.6655101240282368</v>
      </c>
      <c r="AE122" s="75">
        <f t="shared" si="69"/>
        <v>2.6856670109146661</v>
      </c>
      <c r="AF122" s="75">
        <f t="shared" si="69"/>
        <v>2.6958338734397076</v>
      </c>
      <c r="AG122" s="75">
        <f t="shared" si="69"/>
        <v>2.7060617371398985</v>
      </c>
      <c r="AH122" s="75">
        <f t="shared" si="69"/>
        <v>2.6958426277526772</v>
      </c>
      <c r="AI122" s="75">
        <f t="shared" si="69"/>
        <v>2.72504696001646</v>
      </c>
      <c r="AJ122" s="75">
        <f t="shared" si="69"/>
        <v>2.7452123075205836</v>
      </c>
      <c r="AK122" s="75">
        <f t="shared" si="69"/>
        <v>2.8256728611952404</v>
      </c>
      <c r="AL122" s="75">
        <f t="shared" si="69"/>
        <v>2.9143962788103757</v>
      </c>
      <c r="AM122" s="75">
        <f t="shared" si="69"/>
        <v>3.0038383561081936</v>
      </c>
      <c r="AN122" s="75">
        <f t="shared" si="69"/>
        <v>3.0606098927047434</v>
      </c>
      <c r="AO122" s="75">
        <f t="shared" si="69"/>
        <v>3.1389277405130347</v>
      </c>
    </row>
    <row r="123" spans="2:42">
      <c r="B123" s="75">
        <f t="shared" si="53"/>
        <v>0</v>
      </c>
      <c r="C123" s="75">
        <f t="shared" si="67"/>
        <v>0</v>
      </c>
      <c r="D123" s="75">
        <f t="shared" si="67"/>
        <v>0</v>
      </c>
      <c r="E123" s="75">
        <f t="shared" si="67"/>
        <v>0</v>
      </c>
      <c r="F123" s="75">
        <f t="shared" si="67"/>
        <v>0</v>
      </c>
      <c r="G123" s="75">
        <f t="shared" si="67"/>
        <v>0</v>
      </c>
      <c r="H123" s="75">
        <f t="shared" si="67"/>
        <v>0</v>
      </c>
      <c r="I123" s="75">
        <f t="shared" si="67"/>
        <v>0</v>
      </c>
      <c r="J123" s="75">
        <f t="shared" si="67"/>
        <v>0</v>
      </c>
      <c r="K123" s="75">
        <f t="shared" si="67"/>
        <v>0</v>
      </c>
      <c r="L123" s="75">
        <f t="shared" si="67"/>
        <v>0</v>
      </c>
      <c r="M123" s="75">
        <f t="shared" si="67"/>
        <v>0</v>
      </c>
      <c r="N123" s="75">
        <f t="shared" si="67"/>
        <v>1.8842776910132604</v>
      </c>
      <c r="O123" s="75">
        <f t="shared" si="67"/>
        <v>2.0115701652261824</v>
      </c>
      <c r="P123" s="75">
        <f t="shared" si="67"/>
        <v>2.1372933005528187</v>
      </c>
      <c r="Q123" s="75">
        <f t="shared" si="67"/>
        <v>2.2630164358794556</v>
      </c>
      <c r="R123" s="75">
        <f t="shared" si="67"/>
        <v>2.6896645452872012</v>
      </c>
      <c r="S123" s="75">
        <f t="shared" si="67"/>
        <v>2.9151864086884554</v>
      </c>
      <c r="T123" s="75">
        <f t="shared" si="67"/>
        <v>3.1407082720897095</v>
      </c>
      <c r="U123" s="75">
        <f t="shared" si="67"/>
        <v>3.3662301354909645</v>
      </c>
      <c r="V123" s="75">
        <f t="shared" ref="V123:AO123" si="70">V103-W19</f>
        <v>3.2598090598727967</v>
      </c>
      <c r="W123" s="75">
        <f t="shared" si="70"/>
        <v>3.1662436411719517</v>
      </c>
      <c r="X123" s="75">
        <f t="shared" si="70"/>
        <v>3.0722317403497481</v>
      </c>
      <c r="Y123" s="75">
        <f t="shared" si="70"/>
        <v>2.9777720073393752</v>
      </c>
      <c r="Z123" s="75">
        <f t="shared" si="70"/>
        <v>2.8777487864861673</v>
      </c>
      <c r="AA123" s="75">
        <f t="shared" si="70"/>
        <v>2.8894676136717372</v>
      </c>
      <c r="AB123" s="75">
        <f t="shared" si="70"/>
        <v>2.8983602944416109</v>
      </c>
      <c r="AC123" s="75">
        <f t="shared" si="70"/>
        <v>2.9072885459345637</v>
      </c>
      <c r="AD123" s="75">
        <f t="shared" si="70"/>
        <v>2.9080910507822466</v>
      </c>
      <c r="AE123" s="75">
        <f t="shared" si="70"/>
        <v>2.927413166024456</v>
      </c>
      <c r="AF123" s="75">
        <f t="shared" si="70"/>
        <v>2.940979860493381</v>
      </c>
      <c r="AG123" s="75">
        <f t="shared" si="70"/>
        <v>2.9646193630221545</v>
      </c>
      <c r="AH123" s="75">
        <f t="shared" si="70"/>
        <v>2.9687858602201489</v>
      </c>
      <c r="AI123" s="75">
        <f t="shared" si="70"/>
        <v>2.996012363071209</v>
      </c>
      <c r="AJ123" s="75">
        <f t="shared" si="70"/>
        <v>3.0181828545579332</v>
      </c>
      <c r="AK123" s="75">
        <f t="shared" si="70"/>
        <v>3.0746841762219539</v>
      </c>
      <c r="AL123" s="75">
        <f t="shared" si="70"/>
        <v>3.1369878782083216</v>
      </c>
      <c r="AM123" s="75">
        <f t="shared" si="70"/>
        <v>3.2058623476507782</v>
      </c>
      <c r="AN123" s="75">
        <f t="shared" si="70"/>
        <v>3.2457286759831998</v>
      </c>
      <c r="AO123" s="75">
        <f t="shared" si="70"/>
        <v>3.3037777097853764</v>
      </c>
    </row>
    <row r="124" spans="2:42">
      <c r="B124" s="75">
        <f t="shared" si="53"/>
        <v>0</v>
      </c>
      <c r="C124" s="75">
        <f t="shared" si="67"/>
        <v>0</v>
      </c>
      <c r="D124" s="75">
        <f t="shared" si="67"/>
        <v>0</v>
      </c>
      <c r="E124" s="75">
        <f t="shared" si="67"/>
        <v>0</v>
      </c>
      <c r="F124" s="75">
        <f t="shared" si="67"/>
        <v>0</v>
      </c>
      <c r="G124" s="75">
        <f t="shared" si="67"/>
        <v>0</v>
      </c>
      <c r="H124" s="75">
        <f t="shared" si="67"/>
        <v>0</v>
      </c>
      <c r="I124" s="75">
        <f t="shared" si="67"/>
        <v>0</v>
      </c>
      <c r="J124" s="75">
        <f t="shared" si="67"/>
        <v>0</v>
      </c>
      <c r="K124" s="75">
        <f t="shared" si="67"/>
        <v>0</v>
      </c>
      <c r="L124" s="75">
        <f t="shared" si="67"/>
        <v>0</v>
      </c>
      <c r="M124" s="75">
        <f t="shared" si="67"/>
        <v>0</v>
      </c>
      <c r="N124" s="75">
        <f t="shared" si="67"/>
        <v>-0.5351847477499736</v>
      </c>
      <c r="O124" s="75">
        <f t="shared" si="67"/>
        <v>-0.5739082855701283</v>
      </c>
      <c r="P124" s="75">
        <f t="shared" si="67"/>
        <v>-0.61490173453942365</v>
      </c>
      <c r="Q124" s="75">
        <f t="shared" si="67"/>
        <v>-0.65589518350871856</v>
      </c>
      <c r="R124" s="75">
        <f t="shared" si="67"/>
        <v>-0.41836166053102009</v>
      </c>
      <c r="S124" s="75">
        <f t="shared" si="67"/>
        <v>-0.28337712521229985</v>
      </c>
      <c r="T124" s="75">
        <f t="shared" si="67"/>
        <v>-0.14839258989357784</v>
      </c>
      <c r="U124" s="75">
        <f t="shared" si="67"/>
        <v>-1.3408054574858497E-2</v>
      </c>
      <c r="V124" s="75">
        <f t="shared" ref="V124:AO124" si="71">V104-W20</f>
        <v>-0.17602953163293211</v>
      </c>
      <c r="W124" s="75">
        <f t="shared" si="71"/>
        <v>-0.32044585891461352</v>
      </c>
      <c r="X124" s="75">
        <f t="shared" si="71"/>
        <v>-0.4654982744748013</v>
      </c>
      <c r="Y124" s="75">
        <f t="shared" si="71"/>
        <v>-0.61118868340128518</v>
      </c>
      <c r="Z124" s="75">
        <f t="shared" si="71"/>
        <v>-0.77386342741502201</v>
      </c>
      <c r="AA124" s="75">
        <f t="shared" si="71"/>
        <v>-0.77561938048281842</v>
      </c>
      <c r="AB124" s="75">
        <f t="shared" si="71"/>
        <v>-0.78144117050199124</v>
      </c>
      <c r="AC124" s="75">
        <f t="shared" si="71"/>
        <v>-0.78728624768124611</v>
      </c>
      <c r="AD124" s="75">
        <f t="shared" si="71"/>
        <v>-0.81395074389313216</v>
      </c>
      <c r="AE124" s="75">
        <f t="shared" si="71"/>
        <v>-0.81461876120598298</v>
      </c>
      <c r="AF124" s="75">
        <f t="shared" si="71"/>
        <v>-0.8235854425190885</v>
      </c>
      <c r="AG124" s="75">
        <f t="shared" si="71"/>
        <v>-0.9311463776347404</v>
      </c>
      <c r="AH124" s="75">
        <f t="shared" si="71"/>
        <v>-1.0177362515640898</v>
      </c>
      <c r="AI124" s="75">
        <f t="shared" si="71"/>
        <v>-1.036081060072199</v>
      </c>
      <c r="AJ124" s="75">
        <f t="shared" si="71"/>
        <v>-1.0437480599167346</v>
      </c>
      <c r="AK124" s="75">
        <f t="shared" si="71"/>
        <v>-0.99982683324161936</v>
      </c>
      <c r="AL124" s="75">
        <f t="shared" si="71"/>
        <v>-0.95139513399900544</v>
      </c>
      <c r="AM124" s="75">
        <f t="shared" si="71"/>
        <v>-0.90257113799252586</v>
      </c>
      <c r="AN124" s="75">
        <f t="shared" si="71"/>
        <v>-0.8715811010902943</v>
      </c>
      <c r="AO124" s="75">
        <f t="shared" si="71"/>
        <v>-0.81449034414650079</v>
      </c>
    </row>
    <row r="125" spans="2:42">
      <c r="B125" s="75">
        <f t="shared" si="53"/>
        <v>0</v>
      </c>
      <c r="C125" s="75">
        <f t="shared" si="67"/>
        <v>0</v>
      </c>
      <c r="D125" s="75">
        <f t="shared" si="67"/>
        <v>0</v>
      </c>
      <c r="E125" s="75">
        <f t="shared" si="67"/>
        <v>0</v>
      </c>
      <c r="F125" s="75">
        <f t="shared" si="67"/>
        <v>0</v>
      </c>
      <c r="G125" s="75">
        <f t="shared" si="67"/>
        <v>0</v>
      </c>
      <c r="H125" s="75">
        <f t="shared" si="67"/>
        <v>0</v>
      </c>
      <c r="I125" s="75">
        <f t="shared" si="67"/>
        <v>0</v>
      </c>
      <c r="J125" s="75">
        <f t="shared" si="67"/>
        <v>0</v>
      </c>
      <c r="K125" s="75">
        <f t="shared" si="67"/>
        <v>0</v>
      </c>
      <c r="L125" s="75">
        <f t="shared" si="67"/>
        <v>0</v>
      </c>
      <c r="M125" s="75">
        <f t="shared" si="67"/>
        <v>0</v>
      </c>
      <c r="N125" s="75">
        <f t="shared" si="67"/>
        <v>0</v>
      </c>
      <c r="O125" s="75">
        <f t="shared" si="67"/>
        <v>0</v>
      </c>
      <c r="P125" s="75">
        <f t="shared" si="67"/>
        <v>0</v>
      </c>
      <c r="Q125" s="75">
        <f t="shared" si="67"/>
        <v>0</v>
      </c>
      <c r="R125" s="75">
        <f t="shared" si="67"/>
        <v>0</v>
      </c>
      <c r="S125" s="75">
        <f t="shared" si="67"/>
        <v>0</v>
      </c>
      <c r="T125" s="75">
        <f t="shared" si="67"/>
        <v>0</v>
      </c>
      <c r="U125" s="75">
        <f t="shared" si="67"/>
        <v>0</v>
      </c>
      <c r="V125" s="75">
        <f t="shared" ref="V125:AO125" si="72">V105-W21</f>
        <v>0</v>
      </c>
      <c r="W125" s="75">
        <f t="shared" si="72"/>
        <v>0</v>
      </c>
      <c r="X125" s="75">
        <f t="shared" si="72"/>
        <v>0</v>
      </c>
      <c r="Y125" s="75">
        <f t="shared" si="72"/>
        <v>0</v>
      </c>
      <c r="Z125" s="75">
        <f t="shared" si="72"/>
        <v>0</v>
      </c>
      <c r="AA125" s="75">
        <f t="shared" si="72"/>
        <v>0</v>
      </c>
      <c r="AB125" s="75">
        <f t="shared" si="72"/>
        <v>0</v>
      </c>
      <c r="AC125" s="75">
        <f t="shared" si="72"/>
        <v>0</v>
      </c>
      <c r="AD125" s="75">
        <f t="shared" si="72"/>
        <v>0</v>
      </c>
      <c r="AE125" s="75">
        <f t="shared" si="72"/>
        <v>0</v>
      </c>
      <c r="AF125" s="75">
        <f t="shared" si="72"/>
        <v>0</v>
      </c>
      <c r="AG125" s="75">
        <f t="shared" si="72"/>
        <v>0</v>
      </c>
      <c r="AH125" s="75">
        <f t="shared" si="72"/>
        <v>0</v>
      </c>
      <c r="AI125" s="75">
        <f t="shared" si="72"/>
        <v>0</v>
      </c>
      <c r="AJ125" s="75">
        <f t="shared" si="72"/>
        <v>0</v>
      </c>
      <c r="AK125" s="75">
        <f t="shared" si="72"/>
        <v>0</v>
      </c>
      <c r="AL125" s="75">
        <f t="shared" si="72"/>
        <v>0</v>
      </c>
      <c r="AM125" s="75">
        <f t="shared" si="72"/>
        <v>0</v>
      </c>
      <c r="AN125" s="75">
        <f t="shared" si="72"/>
        <v>0</v>
      </c>
      <c r="AO125" s="75">
        <f t="shared" si="72"/>
        <v>0</v>
      </c>
    </row>
    <row r="126" spans="2:42">
      <c r="B126" s="82"/>
    </row>
    <row r="127" spans="2:42">
      <c r="B127" s="82"/>
    </row>
    <row r="128" spans="2:42">
      <c r="B128" t="s">
        <v>80</v>
      </c>
      <c r="C128" s="83">
        <f>AVERAGE(C4:C8)</f>
        <v>11.267599999999998</v>
      </c>
      <c r="D128" s="83">
        <f t="shared" ref="D128:AP128" si="73">AVERAGE(D4:D8)</f>
        <v>11.366849333333331</v>
      </c>
      <c r="E128" s="83">
        <f t="shared" si="73"/>
        <v>11.619697599999999</v>
      </c>
      <c r="F128" s="83">
        <f t="shared" si="73"/>
        <v>11.870043466666663</v>
      </c>
      <c r="G128" s="83">
        <f t="shared" si="73"/>
        <v>12.756299698972139</v>
      </c>
      <c r="H128" s="83">
        <f t="shared" si="73"/>
        <v>13.106857382219809</v>
      </c>
      <c r="I128" s="83">
        <f t="shared" si="73"/>
        <v>13.311526675308977</v>
      </c>
      <c r="J128" s="83">
        <f t="shared" si="73"/>
        <v>13.590966371477403</v>
      </c>
      <c r="K128" s="83">
        <f t="shared" si="73"/>
        <v>14.362406770894504</v>
      </c>
      <c r="L128" s="83">
        <f t="shared" si="73"/>
        <v>14.526885525224779</v>
      </c>
      <c r="M128" s="83">
        <f t="shared" si="73"/>
        <v>14.679100259429717</v>
      </c>
      <c r="N128" s="83">
        <f t="shared" si="73"/>
        <v>14.806527373888553</v>
      </c>
      <c r="O128" s="83">
        <f t="shared" si="73"/>
        <v>15.172974037429986</v>
      </c>
      <c r="P128" s="83">
        <f t="shared" si="73"/>
        <v>15.295547323105279</v>
      </c>
      <c r="Q128" s="83">
        <f t="shared" si="73"/>
        <v>15.424453898124586</v>
      </c>
      <c r="R128" s="83">
        <f t="shared" si="73"/>
        <v>15.566819965655657</v>
      </c>
      <c r="S128" s="83">
        <f t="shared" si="73"/>
        <v>15.974068545350587</v>
      </c>
      <c r="T128" s="83">
        <f t="shared" si="73"/>
        <v>16.13368856723908</v>
      </c>
      <c r="U128" s="83">
        <f t="shared" si="73"/>
        <v>16.313348845140276</v>
      </c>
      <c r="V128" s="83">
        <f t="shared" si="73"/>
        <v>16.401979452277612</v>
      </c>
      <c r="W128" s="83">
        <f t="shared" si="73"/>
        <v>16.525291915975814</v>
      </c>
      <c r="X128" s="83">
        <f t="shared" si="73"/>
        <v>16.611120991419192</v>
      </c>
      <c r="Y128" s="83">
        <f t="shared" si="73"/>
        <v>16.676159303342576</v>
      </c>
      <c r="Z128" s="83">
        <f t="shared" si="73"/>
        <v>16.741197615265957</v>
      </c>
      <c r="AA128" s="83">
        <f t="shared" si="73"/>
        <v>16.845556219282187</v>
      </c>
      <c r="AB128" s="83">
        <f t="shared" si="73"/>
        <v>16.845556219282187</v>
      </c>
      <c r="AC128" s="83">
        <f t="shared" si="73"/>
        <v>16.754711220221566</v>
      </c>
      <c r="AD128" s="83">
        <f t="shared" si="73"/>
        <v>16.746963244843602</v>
      </c>
      <c r="AE128" s="83">
        <f t="shared" si="73"/>
        <v>16.787021593313103</v>
      </c>
      <c r="AF128" s="83">
        <f t="shared" si="73"/>
        <v>16.787021593313103</v>
      </c>
      <c r="AG128" s="83">
        <f t="shared" si="73"/>
        <v>16.893459453536888</v>
      </c>
      <c r="AH128" s="83">
        <f t="shared" si="73"/>
        <v>16.907753103456891</v>
      </c>
      <c r="AI128" s="83">
        <f t="shared" si="73"/>
        <v>16.917508130225507</v>
      </c>
      <c r="AJ128" s="83">
        <f t="shared" si="73"/>
        <v>16.901898935363896</v>
      </c>
      <c r="AK128" s="83">
        <f t="shared" si="73"/>
        <v>16.901898935363896</v>
      </c>
      <c r="AL128" s="83">
        <f t="shared" si="73"/>
        <v>16.916192585283895</v>
      </c>
      <c r="AM128" s="83">
        <f t="shared" si="73"/>
        <v>16.909886770660989</v>
      </c>
      <c r="AN128" s="83">
        <f t="shared" si="73"/>
        <v>16.909886770660989</v>
      </c>
      <c r="AO128" s="83">
        <f t="shared" si="73"/>
        <v>16.909886770660989</v>
      </c>
      <c r="AP128" s="83">
        <f t="shared" si="73"/>
        <v>16.924180420580988</v>
      </c>
    </row>
    <row r="129" spans="2:42">
      <c r="B129" t="s">
        <v>81</v>
      </c>
      <c r="C129" s="83">
        <f>AVERAGE(C9:C12)</f>
        <v>6.3800000000000008</v>
      </c>
      <c r="D129" s="83">
        <f t="shared" ref="D129:AP129" si="74">AVERAGE(D9:D12)</f>
        <v>6.4816709090909095</v>
      </c>
      <c r="E129" s="83">
        <f t="shared" si="74"/>
        <v>6.5833418181818191</v>
      </c>
      <c r="F129" s="83">
        <f t="shared" si="74"/>
        <v>6.6850127272727269</v>
      </c>
      <c r="G129" s="83">
        <f t="shared" si="74"/>
        <v>7.1371428125510681</v>
      </c>
      <c r="H129" s="83">
        <f t="shared" si="74"/>
        <v>7.244061169783965</v>
      </c>
      <c r="I129" s="83">
        <f t="shared" si="74"/>
        <v>7.3509795270168627</v>
      </c>
      <c r="J129" s="83">
        <f t="shared" si="74"/>
        <v>7.4578978842497596</v>
      </c>
      <c r="K129" s="83">
        <f t="shared" si="74"/>
        <v>7.9554113407894125</v>
      </c>
      <c r="L129" s="83">
        <f t="shared" si="74"/>
        <v>8.0678475431355992</v>
      </c>
      <c r="M129" s="83">
        <f t="shared" si="74"/>
        <v>8.1802837454817858</v>
      </c>
      <c r="N129" s="83">
        <f t="shared" si="74"/>
        <v>8.2927199478279725</v>
      </c>
      <c r="O129" s="83">
        <f t="shared" si="74"/>
        <v>8.8390918432146339</v>
      </c>
      <c r="P129" s="83">
        <f t="shared" si="74"/>
        <v>8.9573302076591261</v>
      </c>
      <c r="Q129" s="83">
        <f t="shared" si="74"/>
        <v>9.0755685721036166</v>
      </c>
      <c r="R129" s="83">
        <f t="shared" si="74"/>
        <v>9.1938069365481052</v>
      </c>
      <c r="S129" s="83">
        <f t="shared" si="74"/>
        <v>9.7812562709414479</v>
      </c>
      <c r="T129" s="83">
        <f t="shared" si="74"/>
        <v>9.8653141131556978</v>
      </c>
      <c r="U129" s="83">
        <f t="shared" si="74"/>
        <v>9.9493719553699478</v>
      </c>
      <c r="V129" s="83">
        <f t="shared" si="74"/>
        <v>10.033429797584198</v>
      </c>
      <c r="W129" s="83">
        <f t="shared" si="74"/>
        <v>10.120257092867078</v>
      </c>
      <c r="X129" s="83">
        <f t="shared" si="74"/>
        <v>10.140992936352072</v>
      </c>
      <c r="Y129" s="83">
        <f t="shared" si="74"/>
        <v>10.161770251524038</v>
      </c>
      <c r="Z129" s="83">
        <f t="shared" si="74"/>
        <v>10.182589121326343</v>
      </c>
      <c r="AA129" s="83">
        <f t="shared" si="74"/>
        <v>10.29295230316853</v>
      </c>
      <c r="AB129" s="83">
        <f t="shared" si="74"/>
        <v>10.335162980027507</v>
      </c>
      <c r="AC129" s="83">
        <f t="shared" si="74"/>
        <v>10.37754249959392</v>
      </c>
      <c r="AD129" s="83">
        <f t="shared" si="74"/>
        <v>10.420091537238598</v>
      </c>
      <c r="AE129" s="83">
        <f t="shared" si="74"/>
        <v>10.555922887861625</v>
      </c>
      <c r="AF129" s="83">
        <f t="shared" si="74"/>
        <v>10.620890911875309</v>
      </c>
      <c r="AG129" s="83">
        <f t="shared" si="74"/>
        <v>10.666676406106125</v>
      </c>
      <c r="AH129" s="83">
        <f t="shared" si="74"/>
        <v>10.732310151229273</v>
      </c>
      <c r="AI129" s="83">
        <f t="shared" si="74"/>
        <v>10.800793492266843</v>
      </c>
      <c r="AJ129" s="83">
        <f t="shared" si="74"/>
        <v>10.882736316356313</v>
      </c>
      <c r="AK129" s="83">
        <f t="shared" si="74"/>
        <v>10.965285517344043</v>
      </c>
      <c r="AL129" s="83">
        <f t="shared" si="74"/>
        <v>11.008618810236271</v>
      </c>
      <c r="AM129" s="83">
        <f t="shared" si="74"/>
        <v>11.078481137696025</v>
      </c>
      <c r="AN129" s="83">
        <f t="shared" si="74"/>
        <v>11.078481137696025</v>
      </c>
      <c r="AO129" s="83">
        <f t="shared" si="74"/>
        <v>11.078481137696025</v>
      </c>
      <c r="AP129" s="83">
        <f t="shared" si="74"/>
        <v>11.078481137696023</v>
      </c>
    </row>
    <row r="130" spans="2:42">
      <c r="B130" t="s">
        <v>82</v>
      </c>
      <c r="C130" s="83"/>
      <c r="D130" s="83"/>
      <c r="E130" s="83"/>
      <c r="F130" s="83"/>
      <c r="G130" s="83"/>
      <c r="H130" s="83"/>
      <c r="I130" s="83"/>
      <c r="J130" s="83"/>
      <c r="K130" s="83">
        <f t="shared" ref="K130:AP130" si="75">AVERAGE(K13:K16)</f>
        <v>10.000750810694674</v>
      </c>
      <c r="L130" s="83">
        <f t="shared" si="75"/>
        <v>10.1461956074023</v>
      </c>
      <c r="M130" s="83">
        <f t="shared" si="75"/>
        <v>10.291640404109923</v>
      </c>
      <c r="N130" s="83">
        <f t="shared" si="75"/>
        <v>10.437085200817547</v>
      </c>
      <c r="O130" s="83">
        <f t="shared" si="75"/>
        <v>10.763694648156326</v>
      </c>
      <c r="P130" s="83">
        <f t="shared" si="75"/>
        <v>10.911769925284093</v>
      </c>
      <c r="Q130" s="83">
        <f t="shared" si="75"/>
        <v>11.059845202411854</v>
      </c>
      <c r="R130" s="83">
        <f t="shared" si="75"/>
        <v>11.207920479539617</v>
      </c>
      <c r="S130" s="83">
        <f t="shared" si="75"/>
        <v>11.550506015531637</v>
      </c>
      <c r="T130" s="83">
        <f t="shared" si="75"/>
        <v>11.699061058132484</v>
      </c>
      <c r="U130" s="83">
        <f t="shared" si="75"/>
        <v>11.84761610073333</v>
      </c>
      <c r="V130" s="83">
        <f t="shared" si="75"/>
        <v>11.996171143334177</v>
      </c>
      <c r="W130" s="83">
        <f t="shared" si="75"/>
        <v>12.138585356585757</v>
      </c>
      <c r="X130" s="83">
        <f t="shared" si="75"/>
        <v>12.268895668636606</v>
      </c>
      <c r="Y130" s="83">
        <f t="shared" si="75"/>
        <v>12.399549000274758</v>
      </c>
      <c r="Z130" s="83">
        <f t="shared" si="75"/>
        <v>12.530546342969952</v>
      </c>
      <c r="AA130" s="83">
        <f t="shared" si="75"/>
        <v>12.4498736930883</v>
      </c>
      <c r="AB130" s="83">
        <f t="shared" si="75"/>
        <v>12.488451915932377</v>
      </c>
      <c r="AC130" s="83">
        <f t="shared" si="75"/>
        <v>12.527184451667829</v>
      </c>
      <c r="AD130" s="83">
        <f t="shared" si="75"/>
        <v>12.706039039693952</v>
      </c>
      <c r="AE130" s="83">
        <f t="shared" si="75"/>
        <v>12.729470265158168</v>
      </c>
      <c r="AF130" s="83">
        <f t="shared" si="75"/>
        <v>12.760101246879595</v>
      </c>
      <c r="AG130" s="83">
        <f t="shared" si="75"/>
        <v>12.790877146138095</v>
      </c>
      <c r="AH130" s="83">
        <f t="shared" si="75"/>
        <v>12.821798968287524</v>
      </c>
      <c r="AI130" s="83">
        <f t="shared" si="75"/>
        <v>12.860657479366239</v>
      </c>
      <c r="AJ130" s="83">
        <f t="shared" si="75"/>
        <v>12.89593782065997</v>
      </c>
      <c r="AK130" s="83">
        <f t="shared" si="75"/>
        <v>12.900296666434905</v>
      </c>
      <c r="AL130" s="83">
        <f t="shared" si="75"/>
        <v>12.914472805521134</v>
      </c>
      <c r="AM130" s="83">
        <f t="shared" si="75"/>
        <v>12.942029199126409</v>
      </c>
      <c r="AN130" s="83">
        <f t="shared" si="75"/>
        <v>12.942029199126409</v>
      </c>
      <c r="AO130" s="83">
        <f t="shared" si="75"/>
        <v>12.935065600139753</v>
      </c>
      <c r="AP130" s="83">
        <f t="shared" si="75"/>
        <v>12.935065600139753</v>
      </c>
    </row>
    <row r="131" spans="2:42">
      <c r="B131" t="s">
        <v>83</v>
      </c>
      <c r="C131" s="83"/>
      <c r="D131" s="83"/>
      <c r="E131" s="83"/>
      <c r="F131" s="83"/>
      <c r="G131" s="83"/>
      <c r="H131" s="83"/>
      <c r="I131" s="83"/>
      <c r="J131" s="83"/>
      <c r="K131" s="83"/>
      <c r="L131" s="83"/>
      <c r="M131" s="83"/>
      <c r="N131" s="83"/>
      <c r="O131" s="83">
        <f t="shared" ref="O131:AP131" si="76">AVERAGE(O17:O20)</f>
        <v>7.0371167905309235</v>
      </c>
      <c r="P131" s="83">
        <f t="shared" si="76"/>
        <v>7.2253066987366008</v>
      </c>
      <c r="Q131" s="83">
        <f t="shared" si="76"/>
        <v>7.4147055827854986</v>
      </c>
      <c r="R131" s="83">
        <f t="shared" si="76"/>
        <v>7.6041044668344</v>
      </c>
      <c r="S131" s="83">
        <f t="shared" si="76"/>
        <v>7.9119414743419867</v>
      </c>
      <c r="T131" s="83">
        <f t="shared" si="76"/>
        <v>8.0291757108289517</v>
      </c>
      <c r="U131" s="83">
        <f t="shared" si="76"/>
        <v>8.1464099473159202</v>
      </c>
      <c r="V131" s="83">
        <f t="shared" si="76"/>
        <v>8.2636441838028851</v>
      </c>
      <c r="W131" s="83">
        <f t="shared" si="76"/>
        <v>8.445267640028165</v>
      </c>
      <c r="X131" s="83">
        <f t="shared" si="76"/>
        <v>8.5577405007750507</v>
      </c>
      <c r="Y131" s="83">
        <f t="shared" si="76"/>
        <v>8.7744184381563084</v>
      </c>
      <c r="Z131" s="83">
        <f t="shared" si="76"/>
        <v>8.8568920904313888</v>
      </c>
      <c r="AA131" s="83">
        <f t="shared" si="76"/>
        <v>8.9830004284779879</v>
      </c>
      <c r="AB131" s="83">
        <f t="shared" si="76"/>
        <v>9.0210532965079278</v>
      </c>
      <c r="AC131" s="83">
        <f t="shared" si="76"/>
        <v>9.0656514616027</v>
      </c>
      <c r="AD131" s="83">
        <f t="shared" si="76"/>
        <v>9.1104280193578617</v>
      </c>
      <c r="AE131" s="83">
        <f t="shared" si="76"/>
        <v>9.2059958679492695</v>
      </c>
      <c r="AF131" s="83">
        <f t="shared" si="76"/>
        <v>9.2609377583451469</v>
      </c>
      <c r="AG131" s="83">
        <f t="shared" si="76"/>
        <v>9.3292743127583329</v>
      </c>
      <c r="AH131" s="83">
        <f t="shared" si="76"/>
        <v>9.4201581479534067</v>
      </c>
      <c r="AI131" s="83">
        <f t="shared" si="76"/>
        <v>9.54507484823014</v>
      </c>
      <c r="AJ131" s="83">
        <f t="shared" si="76"/>
        <v>9.6093754526631887</v>
      </c>
      <c r="AK131" s="83">
        <f t="shared" si="76"/>
        <v>9.6804848310128939</v>
      </c>
      <c r="AL131" s="83">
        <f t="shared" si="76"/>
        <v>9.6804848310128939</v>
      </c>
      <c r="AM131" s="83">
        <f t="shared" si="76"/>
        <v>9.6804848310128939</v>
      </c>
      <c r="AN131" s="83">
        <f t="shared" si="76"/>
        <v>9.6789683041453944</v>
      </c>
      <c r="AO131" s="83">
        <f t="shared" si="76"/>
        <v>9.6789683041453944</v>
      </c>
      <c r="AP131" s="83">
        <f t="shared" si="76"/>
        <v>9.6543379615068083</v>
      </c>
    </row>
    <row r="133" spans="2:42">
      <c r="B133" t="s">
        <v>80</v>
      </c>
      <c r="C133" s="66">
        <f>C128/27</f>
        <v>0.41731851851851842</v>
      </c>
      <c r="D133" s="66">
        <f t="shared" ref="D133:AP136" si="77">D128/27</f>
        <v>0.42099441975308632</v>
      </c>
      <c r="E133" s="66">
        <f t="shared" si="77"/>
        <v>0.4303591703703703</v>
      </c>
      <c r="F133" s="66">
        <f t="shared" si="77"/>
        <v>0.43963123950617272</v>
      </c>
      <c r="G133" s="66">
        <f t="shared" si="77"/>
        <v>0.47245554440637555</v>
      </c>
      <c r="H133" s="66">
        <f t="shared" si="77"/>
        <v>0.4854391623044374</v>
      </c>
      <c r="I133" s="66">
        <f t="shared" si="77"/>
        <v>0.49301950649292509</v>
      </c>
      <c r="J133" s="66">
        <f t="shared" si="77"/>
        <v>0.50336912486953345</v>
      </c>
      <c r="K133" s="66">
        <f t="shared" si="77"/>
        <v>0.53194099151461127</v>
      </c>
      <c r="L133" s="66">
        <f t="shared" si="77"/>
        <v>0.53803279723054742</v>
      </c>
      <c r="M133" s="66">
        <f t="shared" si="77"/>
        <v>0.54367037997887835</v>
      </c>
      <c r="N133" s="66">
        <f t="shared" si="77"/>
        <v>0.54838990273661303</v>
      </c>
      <c r="O133" s="66">
        <f t="shared" si="77"/>
        <v>0.56196200138629582</v>
      </c>
      <c r="P133" s="66">
        <f t="shared" si="77"/>
        <v>0.56650175270760295</v>
      </c>
      <c r="Q133" s="66">
        <f t="shared" si="77"/>
        <v>0.57127607030091054</v>
      </c>
      <c r="R133" s="66">
        <f t="shared" si="77"/>
        <v>0.57654888761687617</v>
      </c>
      <c r="S133" s="66">
        <f t="shared" si="77"/>
        <v>0.59163216834631804</v>
      </c>
      <c r="T133" s="66">
        <f t="shared" si="77"/>
        <v>0.59754402100885484</v>
      </c>
      <c r="U133" s="66">
        <f t="shared" si="77"/>
        <v>0.60419810537556573</v>
      </c>
      <c r="V133" s="66">
        <f t="shared" si="77"/>
        <v>0.60748072045472634</v>
      </c>
      <c r="W133" s="66">
        <f t="shared" si="77"/>
        <v>0.61204784873984497</v>
      </c>
      <c r="X133" s="66">
        <f t="shared" si="77"/>
        <v>0.61522670338589602</v>
      </c>
      <c r="Y133" s="66">
        <f t="shared" si="77"/>
        <v>0.61763552975342872</v>
      </c>
      <c r="Z133" s="66">
        <f t="shared" si="77"/>
        <v>0.62004435612096132</v>
      </c>
      <c r="AA133" s="66">
        <f t="shared" si="77"/>
        <v>0.62390948960304393</v>
      </c>
      <c r="AB133" s="66">
        <f t="shared" si="77"/>
        <v>0.62390948960304393</v>
      </c>
      <c r="AC133" s="66">
        <f t="shared" si="77"/>
        <v>0.62054486000820619</v>
      </c>
      <c r="AD133" s="66">
        <f t="shared" si="77"/>
        <v>0.62025789795717046</v>
      </c>
      <c r="AE133" s="66">
        <f t="shared" si="77"/>
        <v>0.62174154049307784</v>
      </c>
      <c r="AF133" s="66">
        <f t="shared" si="77"/>
        <v>0.62174154049307784</v>
      </c>
      <c r="AG133" s="66">
        <f t="shared" si="77"/>
        <v>0.62568368346432923</v>
      </c>
      <c r="AH133" s="66">
        <f t="shared" si="77"/>
        <v>0.62621307790581071</v>
      </c>
      <c r="AI133" s="66">
        <f t="shared" si="77"/>
        <v>0.62657437519353731</v>
      </c>
      <c r="AJ133" s="66">
        <f t="shared" si="77"/>
        <v>0.62599625686532945</v>
      </c>
      <c r="AK133" s="66">
        <f t="shared" si="77"/>
        <v>0.62599625686532945</v>
      </c>
      <c r="AL133" s="66">
        <f t="shared" si="77"/>
        <v>0.62652565130681093</v>
      </c>
      <c r="AM133" s="66">
        <f t="shared" si="77"/>
        <v>0.62629210261707369</v>
      </c>
      <c r="AN133" s="66">
        <f t="shared" si="77"/>
        <v>0.62629210261707369</v>
      </c>
      <c r="AO133" s="66">
        <f t="shared" si="77"/>
        <v>0.62629210261707369</v>
      </c>
      <c r="AP133" s="66">
        <f t="shared" si="77"/>
        <v>0.62682149705855517</v>
      </c>
    </row>
    <row r="134" spans="2:42">
      <c r="B134" t="s">
        <v>81</v>
      </c>
      <c r="C134" s="66">
        <f t="shared" ref="C134:R136" si="78">C129/27</f>
        <v>0.23629629629629634</v>
      </c>
      <c r="D134" s="66">
        <f t="shared" si="78"/>
        <v>0.24006188552188554</v>
      </c>
      <c r="E134" s="66">
        <f t="shared" si="78"/>
        <v>0.24382747474747479</v>
      </c>
      <c r="F134" s="66">
        <f t="shared" si="78"/>
        <v>0.24759306397306396</v>
      </c>
      <c r="G134" s="66">
        <f t="shared" si="78"/>
        <v>0.26433862268707659</v>
      </c>
      <c r="H134" s="66">
        <f t="shared" si="78"/>
        <v>0.26829856184385054</v>
      </c>
      <c r="I134" s="66">
        <f t="shared" si="78"/>
        <v>0.27225850100062454</v>
      </c>
      <c r="J134" s="66">
        <f t="shared" si="78"/>
        <v>0.27621844015739849</v>
      </c>
      <c r="K134" s="66">
        <f t="shared" si="78"/>
        <v>0.29464486447368193</v>
      </c>
      <c r="L134" s="66">
        <f t="shared" si="78"/>
        <v>0.29880916826428144</v>
      </c>
      <c r="M134" s="66">
        <f t="shared" si="78"/>
        <v>0.30297347205488095</v>
      </c>
      <c r="N134" s="66">
        <f t="shared" si="78"/>
        <v>0.30713777584548047</v>
      </c>
      <c r="O134" s="66">
        <f t="shared" si="78"/>
        <v>0.32737377197091239</v>
      </c>
      <c r="P134" s="66">
        <f t="shared" si="78"/>
        <v>0.33175297065404169</v>
      </c>
      <c r="Q134" s="66">
        <f t="shared" si="78"/>
        <v>0.33613216933717099</v>
      </c>
      <c r="R134" s="66">
        <f t="shared" si="78"/>
        <v>0.34051136802030019</v>
      </c>
      <c r="S134" s="66">
        <f t="shared" si="77"/>
        <v>0.36226875077560916</v>
      </c>
      <c r="T134" s="66">
        <f t="shared" si="77"/>
        <v>0.36538200419095179</v>
      </c>
      <c r="U134" s="66">
        <f t="shared" si="77"/>
        <v>0.36849525760629437</v>
      </c>
      <c r="V134" s="66">
        <f t="shared" si="77"/>
        <v>0.37160851102163694</v>
      </c>
      <c r="W134" s="66">
        <f t="shared" si="77"/>
        <v>0.37482433677285476</v>
      </c>
      <c r="X134" s="66">
        <f t="shared" si="77"/>
        <v>0.3755923309760027</v>
      </c>
      <c r="Y134" s="66">
        <f t="shared" si="77"/>
        <v>0.37636186116755693</v>
      </c>
      <c r="Z134" s="66">
        <f t="shared" si="77"/>
        <v>0.37713293041949419</v>
      </c>
      <c r="AA134" s="66">
        <f t="shared" si="77"/>
        <v>0.38122045567290852</v>
      </c>
      <c r="AB134" s="66">
        <f t="shared" si="77"/>
        <v>0.38278381407509282</v>
      </c>
      <c r="AC134" s="66">
        <f t="shared" si="77"/>
        <v>0.38435342591088595</v>
      </c>
      <c r="AD134" s="66">
        <f t="shared" si="77"/>
        <v>0.38592931619402215</v>
      </c>
      <c r="AE134" s="66">
        <f t="shared" si="77"/>
        <v>0.39096010695783795</v>
      </c>
      <c r="AF134" s="66">
        <f t="shared" si="77"/>
        <v>0.39336633006945587</v>
      </c>
      <c r="AG134" s="66">
        <f t="shared" si="77"/>
        <v>0.3950620891150417</v>
      </c>
      <c r="AH134" s="66">
        <f t="shared" si="77"/>
        <v>0.39749296856404714</v>
      </c>
      <c r="AI134" s="66">
        <f t="shared" si="77"/>
        <v>0.40002938860247567</v>
      </c>
      <c r="AJ134" s="66">
        <f t="shared" si="77"/>
        <v>0.40306430801319676</v>
      </c>
      <c r="AK134" s="66">
        <f t="shared" si="77"/>
        <v>0.40612168582755714</v>
      </c>
      <c r="AL134" s="66">
        <f t="shared" si="77"/>
        <v>0.4077266226013434</v>
      </c>
      <c r="AM134" s="66">
        <f t="shared" si="77"/>
        <v>0.41031411621096392</v>
      </c>
      <c r="AN134" s="66">
        <f t="shared" si="77"/>
        <v>0.41031411621096392</v>
      </c>
      <c r="AO134" s="66">
        <f t="shared" si="77"/>
        <v>0.41031411621096392</v>
      </c>
      <c r="AP134" s="66">
        <f t="shared" si="77"/>
        <v>0.41031411621096381</v>
      </c>
    </row>
    <row r="135" spans="2:42">
      <c r="B135" t="s">
        <v>82</v>
      </c>
      <c r="C135" s="66">
        <f t="shared" si="78"/>
        <v>0</v>
      </c>
      <c r="D135" s="66">
        <f t="shared" si="77"/>
        <v>0</v>
      </c>
      <c r="E135" s="66">
        <f t="shared" si="77"/>
        <v>0</v>
      </c>
      <c r="F135" s="66">
        <f t="shared" si="77"/>
        <v>0</v>
      </c>
      <c r="G135" s="66">
        <f t="shared" si="77"/>
        <v>0</v>
      </c>
      <c r="H135" s="66">
        <f t="shared" si="77"/>
        <v>0</v>
      </c>
      <c r="I135" s="66">
        <f t="shared" si="77"/>
        <v>0</v>
      </c>
      <c r="J135" s="66">
        <f t="shared" si="77"/>
        <v>0</v>
      </c>
      <c r="K135" s="66">
        <f t="shared" si="77"/>
        <v>0.37039817817387682</v>
      </c>
      <c r="L135" s="66">
        <f t="shared" si="77"/>
        <v>0.37578502249638146</v>
      </c>
      <c r="M135" s="66">
        <f t="shared" si="77"/>
        <v>0.38117186681888604</v>
      </c>
      <c r="N135" s="66">
        <f t="shared" si="77"/>
        <v>0.38655871114139062</v>
      </c>
      <c r="O135" s="66">
        <f t="shared" si="77"/>
        <v>0.39865535733912316</v>
      </c>
      <c r="P135" s="66">
        <f t="shared" si="77"/>
        <v>0.40413962686237381</v>
      </c>
      <c r="Q135" s="66">
        <f t="shared" si="77"/>
        <v>0.40962389638562419</v>
      </c>
      <c r="R135" s="66">
        <f t="shared" si="77"/>
        <v>0.41510816590887467</v>
      </c>
      <c r="S135" s="66">
        <f t="shared" si="77"/>
        <v>0.42779651909376432</v>
      </c>
      <c r="T135" s="66">
        <f t="shared" si="77"/>
        <v>0.43329855770861053</v>
      </c>
      <c r="U135" s="66">
        <f t="shared" si="77"/>
        <v>0.43880059632345664</v>
      </c>
      <c r="V135" s="66">
        <f t="shared" si="77"/>
        <v>0.44430263493830285</v>
      </c>
      <c r="W135" s="66">
        <f t="shared" si="77"/>
        <v>0.44957723542910211</v>
      </c>
      <c r="X135" s="66">
        <f t="shared" si="77"/>
        <v>0.45440354328283727</v>
      </c>
      <c r="Y135" s="66">
        <f t="shared" si="77"/>
        <v>0.45924255556573179</v>
      </c>
      <c r="Z135" s="66">
        <f t="shared" si="77"/>
        <v>0.4640943089988871</v>
      </c>
      <c r="AA135" s="66">
        <f t="shared" si="77"/>
        <v>0.46110643307734445</v>
      </c>
      <c r="AB135" s="66">
        <f t="shared" si="77"/>
        <v>0.46253525614564356</v>
      </c>
      <c r="AC135" s="66">
        <f t="shared" si="77"/>
        <v>0.46396979450621589</v>
      </c>
      <c r="AD135" s="66">
        <f t="shared" si="77"/>
        <v>0.4705940385071834</v>
      </c>
      <c r="AE135" s="66">
        <f t="shared" si="77"/>
        <v>0.47146186167252474</v>
      </c>
      <c r="AF135" s="66">
        <f t="shared" si="77"/>
        <v>0.47259634247702204</v>
      </c>
      <c r="AG135" s="66">
        <f t="shared" si="77"/>
        <v>0.47373619059770722</v>
      </c>
      <c r="AH135" s="66">
        <f t="shared" si="77"/>
        <v>0.47488144326990828</v>
      </c>
      <c r="AI135" s="66">
        <f t="shared" si="77"/>
        <v>0.47632064738393476</v>
      </c>
      <c r="AJ135" s="66">
        <f t="shared" si="77"/>
        <v>0.47762732669111002</v>
      </c>
      <c r="AK135" s="66">
        <f t="shared" si="77"/>
        <v>0.47778876542351501</v>
      </c>
      <c r="AL135" s="66">
        <f t="shared" si="77"/>
        <v>0.47831380761189385</v>
      </c>
      <c r="AM135" s="66">
        <f t="shared" si="77"/>
        <v>0.47933441478245958</v>
      </c>
      <c r="AN135" s="66">
        <f t="shared" si="77"/>
        <v>0.47933441478245958</v>
      </c>
      <c r="AO135" s="66">
        <f t="shared" si="77"/>
        <v>0.47907650370887972</v>
      </c>
      <c r="AP135" s="66">
        <f t="shared" si="77"/>
        <v>0.47907650370887972</v>
      </c>
    </row>
    <row r="136" spans="2:42">
      <c r="B136" t="s">
        <v>83</v>
      </c>
      <c r="C136" s="66">
        <f t="shared" si="78"/>
        <v>0</v>
      </c>
      <c r="D136" s="66">
        <f t="shared" si="77"/>
        <v>0</v>
      </c>
      <c r="E136" s="66">
        <f t="shared" si="77"/>
        <v>0</v>
      </c>
      <c r="F136" s="66">
        <f t="shared" si="77"/>
        <v>0</v>
      </c>
      <c r="G136" s="66">
        <f t="shared" si="77"/>
        <v>0</v>
      </c>
      <c r="H136" s="66">
        <f t="shared" si="77"/>
        <v>0</v>
      </c>
      <c r="I136" s="66">
        <f t="shared" si="77"/>
        <v>0</v>
      </c>
      <c r="J136" s="66">
        <f t="shared" si="77"/>
        <v>0</v>
      </c>
      <c r="K136" s="66">
        <f t="shared" si="77"/>
        <v>0</v>
      </c>
      <c r="L136" s="66">
        <f t="shared" si="77"/>
        <v>0</v>
      </c>
      <c r="M136" s="66">
        <f t="shared" si="77"/>
        <v>0</v>
      </c>
      <c r="N136" s="66">
        <f t="shared" si="77"/>
        <v>0</v>
      </c>
      <c r="O136" s="66">
        <f t="shared" si="77"/>
        <v>0.260633955204849</v>
      </c>
      <c r="P136" s="66">
        <f t="shared" si="77"/>
        <v>0.2676039518050593</v>
      </c>
      <c r="Q136" s="66">
        <f t="shared" si="77"/>
        <v>0.27461872528835179</v>
      </c>
      <c r="R136" s="66">
        <f t="shared" si="77"/>
        <v>0.28163349877164445</v>
      </c>
      <c r="S136" s="66">
        <f t="shared" si="77"/>
        <v>0.29303486942007356</v>
      </c>
      <c r="T136" s="66">
        <f t="shared" si="77"/>
        <v>0.29737687817885006</v>
      </c>
      <c r="U136" s="66">
        <f t="shared" si="77"/>
        <v>0.30171888693762666</v>
      </c>
      <c r="V136" s="66">
        <f t="shared" si="77"/>
        <v>0.30606089569640316</v>
      </c>
      <c r="W136" s="66">
        <f t="shared" si="77"/>
        <v>0.31278769037141352</v>
      </c>
      <c r="X136" s="66">
        <f t="shared" si="77"/>
        <v>0.31695335188055745</v>
      </c>
      <c r="Y136" s="66">
        <f t="shared" si="77"/>
        <v>0.32497846067245589</v>
      </c>
      <c r="Z136" s="66">
        <f t="shared" si="77"/>
        <v>0.32803304038634773</v>
      </c>
      <c r="AA136" s="66">
        <f t="shared" si="77"/>
        <v>0.33270371957325878</v>
      </c>
      <c r="AB136" s="66">
        <f t="shared" si="77"/>
        <v>0.33411308505584919</v>
      </c>
      <c r="AC136" s="66">
        <f t="shared" si="77"/>
        <v>0.33576486894824814</v>
      </c>
      <c r="AD136" s="66">
        <f t="shared" si="77"/>
        <v>0.33742325997621708</v>
      </c>
      <c r="AE136" s="66">
        <f t="shared" si="77"/>
        <v>0.34096280992404704</v>
      </c>
      <c r="AF136" s="66">
        <f t="shared" si="77"/>
        <v>0.34299769475352399</v>
      </c>
      <c r="AG136" s="66">
        <f t="shared" si="77"/>
        <v>0.34552867825030864</v>
      </c>
      <c r="AH136" s="66">
        <f t="shared" si="77"/>
        <v>0.34889474622049654</v>
      </c>
      <c r="AI136" s="66">
        <f t="shared" si="77"/>
        <v>0.35352129067519039</v>
      </c>
      <c r="AJ136" s="66">
        <f t="shared" si="77"/>
        <v>0.35590279454308105</v>
      </c>
      <c r="AK136" s="66">
        <f t="shared" si="77"/>
        <v>0.35853647522269977</v>
      </c>
      <c r="AL136" s="66">
        <f t="shared" si="77"/>
        <v>0.35853647522269977</v>
      </c>
      <c r="AM136" s="66">
        <f t="shared" si="77"/>
        <v>0.35853647522269977</v>
      </c>
      <c r="AN136" s="66">
        <f t="shared" si="77"/>
        <v>0.35848030756094051</v>
      </c>
      <c r="AO136" s="66">
        <f t="shared" si="77"/>
        <v>0.35848030756094051</v>
      </c>
      <c r="AP136" s="66">
        <f t="shared" si="77"/>
        <v>0.35756807264840029</v>
      </c>
    </row>
  </sheetData>
  <mergeCells count="61">
    <mergeCell ref="A77:A80"/>
    <mergeCell ref="C64:F64"/>
    <mergeCell ref="G64:J64"/>
    <mergeCell ref="K64:N64"/>
    <mergeCell ref="O64:R64"/>
    <mergeCell ref="A66:A69"/>
    <mergeCell ref="A70:A73"/>
    <mergeCell ref="A74:A76"/>
    <mergeCell ref="A28:A31"/>
    <mergeCell ref="S64:V64"/>
    <mergeCell ref="C63:V63"/>
    <mergeCell ref="A44:A47"/>
    <mergeCell ref="A48:A51"/>
    <mergeCell ref="A52:A54"/>
    <mergeCell ref="A55:A58"/>
    <mergeCell ref="A32:A35"/>
    <mergeCell ref="A36:A39"/>
    <mergeCell ref="A41:V41"/>
    <mergeCell ref="C42:F42"/>
    <mergeCell ref="G42:J42"/>
    <mergeCell ref="K42:N42"/>
    <mergeCell ref="O42:R42"/>
    <mergeCell ref="S42:V42"/>
    <mergeCell ref="C22:V22"/>
    <mergeCell ref="A17:A20"/>
    <mergeCell ref="A23:A27"/>
    <mergeCell ref="A4:A8"/>
    <mergeCell ref="A9:A12"/>
    <mergeCell ref="A13:A16"/>
    <mergeCell ref="AQ2:AT2"/>
    <mergeCell ref="C1:V1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B86:E86"/>
    <mergeCell ref="F86:I86"/>
    <mergeCell ref="J86:M86"/>
    <mergeCell ref="N86:Q86"/>
    <mergeCell ref="R86:U86"/>
    <mergeCell ref="V86:Y86"/>
    <mergeCell ref="Z86:AC86"/>
    <mergeCell ref="AD86:AG86"/>
    <mergeCell ref="AH86:AK86"/>
    <mergeCell ref="AL86:AO86"/>
    <mergeCell ref="B106:E106"/>
    <mergeCell ref="F106:I106"/>
    <mergeCell ref="J106:M106"/>
    <mergeCell ref="N106:Q106"/>
    <mergeCell ref="R106:U106"/>
    <mergeCell ref="V106:Y106"/>
    <mergeCell ref="Z106:AC106"/>
    <mergeCell ref="AD106:AG106"/>
    <mergeCell ref="AH106:AK106"/>
    <mergeCell ref="AL106:AO106"/>
  </mergeCells>
  <phoneticPr fontId="13" type="noConversion"/>
  <conditionalFormatting sqref="C4:AL20">
    <cfRule type="cellIs" dxfId="4" priority="3" operator="greaterThan">
      <formula>27</formula>
    </cfRule>
  </conditionalFormatting>
  <conditionalFormatting sqref="AM4:AP20">
    <cfRule type="cellIs" dxfId="3" priority="2" operator="greaterThan">
      <formula>27</formula>
    </cfRule>
  </conditionalFormatting>
  <conditionalFormatting sqref="AQ4:AT20">
    <cfRule type="cellIs" dxfId="2" priority="1" operator="greaterThan">
      <formula>27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D62A0-1B2D-483B-9DA3-A4914F3E45DD}">
  <sheetPr codeName="Sheet5"/>
  <dimension ref="A1:BO45"/>
  <sheetViews>
    <sheetView zoomScale="70" zoomScaleNormal="70" workbookViewId="0">
      <selection activeCell="AW14" sqref="AW14"/>
    </sheetView>
  </sheetViews>
  <sheetFormatPr defaultRowHeight="14.45"/>
  <cols>
    <col min="3" max="22" width="3.140625" customWidth="1"/>
    <col min="23" max="23" width="10.85546875" bestFit="1" customWidth="1"/>
    <col min="24" max="27" width="6.140625" customWidth="1"/>
    <col min="28" max="43" width="7" bestFit="1" customWidth="1"/>
    <col min="45" max="45" width="20.140625" bestFit="1" customWidth="1"/>
    <col min="47" max="47" width="10.5703125" bestFit="1" customWidth="1"/>
    <col min="48" max="48" width="13.42578125" bestFit="1" customWidth="1"/>
    <col min="49" max="49" width="17.42578125" bestFit="1" customWidth="1"/>
    <col min="50" max="50" width="14.42578125" bestFit="1" customWidth="1"/>
    <col min="51" max="51" width="5.5703125" customWidth="1"/>
    <col min="52" max="52" width="30.85546875" bestFit="1" customWidth="1"/>
    <col min="53" max="67" width="5.5703125" customWidth="1"/>
  </cols>
  <sheetData>
    <row r="1" spans="1:67">
      <c r="C1" s="118" t="s">
        <v>84</v>
      </c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77" t="s">
        <v>85</v>
      </c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U1" s="172" t="s">
        <v>86</v>
      </c>
      <c r="AV1" s="173"/>
      <c r="AW1" s="173"/>
      <c r="AX1" s="173"/>
      <c r="AY1" s="173"/>
      <c r="AZ1" s="173"/>
      <c r="BA1" s="173"/>
      <c r="BB1" s="173"/>
      <c r="BC1" s="173"/>
      <c r="BD1" s="173"/>
      <c r="BE1" s="173"/>
      <c r="BF1" s="173"/>
      <c r="BG1" s="173"/>
      <c r="BH1" s="173"/>
      <c r="BI1" s="173"/>
      <c r="BJ1" s="173"/>
      <c r="BK1" s="173"/>
      <c r="BL1" s="173"/>
      <c r="BM1" s="173"/>
      <c r="BN1" s="173"/>
      <c r="BO1" s="174"/>
    </row>
    <row r="2" spans="1:67">
      <c r="C2" s="127">
        <v>2022</v>
      </c>
      <c r="D2" s="127"/>
      <c r="E2" s="127"/>
      <c r="F2" s="127"/>
      <c r="G2" s="128">
        <v>2023</v>
      </c>
      <c r="H2" s="128"/>
      <c r="I2" s="128"/>
      <c r="J2" s="128"/>
      <c r="K2" s="129">
        <v>2024</v>
      </c>
      <c r="L2" s="129"/>
      <c r="M2" s="129"/>
      <c r="N2" s="129"/>
      <c r="O2" s="128">
        <v>2025</v>
      </c>
      <c r="P2" s="128"/>
      <c r="Q2" s="128"/>
      <c r="R2" s="128"/>
      <c r="S2" s="130">
        <v>2026</v>
      </c>
      <c r="T2" s="130"/>
      <c r="U2" s="130"/>
      <c r="V2" s="130"/>
      <c r="W2" s="60"/>
      <c r="X2" s="169">
        <v>2022</v>
      </c>
      <c r="Y2" s="169"/>
      <c r="Z2" s="169"/>
      <c r="AA2" s="169"/>
      <c r="AB2" s="169">
        <v>2023</v>
      </c>
      <c r="AC2" s="169"/>
      <c r="AD2" s="169"/>
      <c r="AE2" s="169"/>
      <c r="AF2" s="169">
        <v>2024</v>
      </c>
      <c r="AG2" s="169"/>
      <c r="AH2" s="169"/>
      <c r="AI2" s="169"/>
      <c r="AJ2" s="169">
        <v>2025</v>
      </c>
      <c r="AK2" s="169"/>
      <c r="AL2" s="169"/>
      <c r="AM2" s="169"/>
      <c r="AN2" s="170">
        <v>2026</v>
      </c>
      <c r="AO2" s="170"/>
      <c r="AP2" s="170"/>
      <c r="AQ2" s="170"/>
      <c r="AS2" t="s">
        <v>87</v>
      </c>
      <c r="AT2">
        <v>27</v>
      </c>
      <c r="AU2" s="175"/>
      <c r="AV2" s="115">
        <v>2022</v>
      </c>
      <c r="AW2" s="115"/>
      <c r="AX2" s="115"/>
      <c r="AY2" s="115"/>
      <c r="AZ2" s="112">
        <v>2023</v>
      </c>
      <c r="BA2" s="112"/>
      <c r="BB2" s="112"/>
      <c r="BC2" s="112"/>
      <c r="BD2" s="116">
        <v>2024</v>
      </c>
      <c r="BE2" s="116"/>
      <c r="BF2" s="116"/>
      <c r="BG2" s="116"/>
      <c r="BH2" s="112">
        <v>2025</v>
      </c>
      <c r="BI2" s="112"/>
      <c r="BJ2" s="112"/>
      <c r="BK2" s="112"/>
      <c r="BL2" s="111">
        <v>2026</v>
      </c>
      <c r="BM2" s="111"/>
      <c r="BN2" s="111"/>
      <c r="BO2" s="111"/>
    </row>
    <row r="3" spans="1:67">
      <c r="C3">
        <v>1</v>
      </c>
      <c r="D3">
        <v>2</v>
      </c>
      <c r="E3">
        <v>3</v>
      </c>
      <c r="F3">
        <v>4</v>
      </c>
      <c r="G3">
        <v>1</v>
      </c>
      <c r="H3">
        <v>2</v>
      </c>
      <c r="I3">
        <v>3</v>
      </c>
      <c r="J3">
        <v>4</v>
      </c>
      <c r="K3">
        <v>1</v>
      </c>
      <c r="L3">
        <v>2</v>
      </c>
      <c r="M3">
        <v>3</v>
      </c>
      <c r="N3">
        <v>4</v>
      </c>
      <c r="O3">
        <v>1</v>
      </c>
      <c r="P3">
        <v>2</v>
      </c>
      <c r="Q3">
        <v>3</v>
      </c>
      <c r="R3">
        <v>4</v>
      </c>
      <c r="S3">
        <v>1</v>
      </c>
      <c r="T3">
        <v>2</v>
      </c>
      <c r="U3">
        <v>3</v>
      </c>
      <c r="V3">
        <v>4</v>
      </c>
      <c r="W3" s="61"/>
      <c r="X3" s="46">
        <v>1</v>
      </c>
      <c r="Y3" s="46">
        <v>2</v>
      </c>
      <c r="Z3" s="46">
        <v>3</v>
      </c>
      <c r="AA3" s="46">
        <v>4</v>
      </c>
      <c r="AB3" s="46">
        <v>1</v>
      </c>
      <c r="AC3" s="46">
        <v>2</v>
      </c>
      <c r="AD3" s="46">
        <v>3</v>
      </c>
      <c r="AE3" s="46">
        <v>4</v>
      </c>
      <c r="AF3" s="46">
        <v>1</v>
      </c>
      <c r="AG3" s="46">
        <v>2</v>
      </c>
      <c r="AH3" s="46">
        <v>3</v>
      </c>
      <c r="AI3" s="46">
        <v>4</v>
      </c>
      <c r="AJ3" s="46">
        <v>1</v>
      </c>
      <c r="AK3" s="46">
        <v>2</v>
      </c>
      <c r="AL3" s="46">
        <v>3</v>
      </c>
      <c r="AM3" s="46">
        <v>4</v>
      </c>
      <c r="AN3" s="46">
        <v>1</v>
      </c>
      <c r="AO3" s="46">
        <v>2</v>
      </c>
      <c r="AP3" s="46">
        <v>3</v>
      </c>
      <c r="AQ3" s="46">
        <v>4</v>
      </c>
      <c r="AU3" s="176"/>
      <c r="AV3" s="19">
        <v>1</v>
      </c>
      <c r="AW3" s="19">
        <v>2</v>
      </c>
      <c r="AX3" s="19">
        <v>3</v>
      </c>
      <c r="AY3" s="19">
        <v>4</v>
      </c>
      <c r="AZ3" s="19">
        <v>1</v>
      </c>
      <c r="BA3" s="19">
        <v>2</v>
      </c>
      <c r="BB3" s="19">
        <v>3</v>
      </c>
      <c r="BC3" s="19">
        <v>4</v>
      </c>
      <c r="BD3" s="19">
        <v>1</v>
      </c>
      <c r="BE3" s="19">
        <v>2</v>
      </c>
      <c r="BF3" s="19">
        <v>3</v>
      </c>
      <c r="BG3" s="19">
        <v>4</v>
      </c>
      <c r="BH3" s="19">
        <v>1</v>
      </c>
      <c r="BI3" s="19">
        <v>2</v>
      </c>
      <c r="BJ3" s="19">
        <v>3</v>
      </c>
      <c r="BK3" s="19">
        <v>4</v>
      </c>
      <c r="BL3" s="19">
        <v>1</v>
      </c>
      <c r="BM3" s="19">
        <v>2</v>
      </c>
      <c r="BN3" s="19">
        <v>3</v>
      </c>
      <c r="BO3" s="19">
        <v>4</v>
      </c>
    </row>
    <row r="4" spans="1:67">
      <c r="A4" s="107">
        <v>1</v>
      </c>
      <c r="B4" s="47" t="s">
        <v>15</v>
      </c>
      <c r="C4" s="18">
        <v>1</v>
      </c>
      <c r="D4" s="18">
        <v>1</v>
      </c>
      <c r="E4" s="18">
        <v>1</v>
      </c>
      <c r="F4" s="18">
        <v>1</v>
      </c>
      <c r="G4" s="18">
        <v>1</v>
      </c>
      <c r="H4" s="18">
        <v>1</v>
      </c>
      <c r="I4" s="18">
        <v>1</v>
      </c>
      <c r="J4" s="18">
        <v>1</v>
      </c>
      <c r="K4" s="18">
        <v>1</v>
      </c>
      <c r="L4" s="18">
        <v>1</v>
      </c>
      <c r="M4" s="18">
        <v>1</v>
      </c>
      <c r="N4" s="18">
        <v>1</v>
      </c>
      <c r="O4" s="18">
        <v>1</v>
      </c>
      <c r="P4" s="18">
        <v>1</v>
      </c>
      <c r="Q4" s="18">
        <v>1</v>
      </c>
      <c r="R4" s="18">
        <v>1</v>
      </c>
      <c r="S4" s="18">
        <v>1</v>
      </c>
      <c r="T4" s="18">
        <v>1</v>
      </c>
      <c r="U4" s="18">
        <v>1</v>
      </c>
      <c r="V4" s="18">
        <v>1</v>
      </c>
      <c r="W4" s="47" t="s">
        <v>15</v>
      </c>
      <c r="X4" s="44">
        <f>IFERROR(IF('Aglis Total Tonnage'!C4/('Aglis Load Factor'!C4*'Aglis Load Factor'!$AT$2)&gt;1,1,'Aglis Total Tonnage'!C4/('Aglis Load Factor'!C4*'Aglis Load Factor'!$AT$2)),0)</f>
        <v>0.26296296296296301</v>
      </c>
      <c r="Y4" s="44">
        <f>IFERROR(IF('Aglis Total Tonnage'!D4/('Aglis Load Factor'!D4*'Aglis Load Factor'!$AT$2)&gt;1,1,'Aglis Total Tonnage'!D4/('Aglis Load Factor'!D4*'Aglis Load Factor'!$AT$2)),0)</f>
        <v>0.24581777777777772</v>
      </c>
      <c r="Z4" s="44">
        <f>IFERROR(IF('Aglis Total Tonnage'!E4/('Aglis Load Factor'!E4*'Aglis Load Factor'!$AT$2)&gt;1,1,'Aglis Total Tonnage'!E4/('Aglis Load Factor'!E4*'Aglis Load Factor'!$AT$2)),0)</f>
        <v>0.26064888888888882</v>
      </c>
      <c r="AA4" s="44">
        <f>IFERROR(IF('Aglis Total Tonnage'!F4/('Aglis Load Factor'!F4*'Aglis Load Factor'!$AT$2)&gt;1,1,'Aglis Total Tonnage'!F4/('Aglis Load Factor'!F4*'Aglis Load Factor'!$AT$2)),0)</f>
        <v>0.27590074074074072</v>
      </c>
      <c r="AB4" s="44">
        <f>IFERROR(IF('Aglis Total Tonnage'!G4/('Aglis Load Factor'!G4*'Aglis Load Factor'!$AT$2)&gt;1,1,'Aglis Total Tonnage'!G4/('Aglis Load Factor'!G4*'Aglis Load Factor'!$AT$2)),0)</f>
        <v>0.30384112174375344</v>
      </c>
      <c r="AC4" s="44">
        <f>IFERROR(IF('Aglis Total Tonnage'!H4/('Aglis Load Factor'!H4*'Aglis Load Factor'!$AT$2)&gt;1,1,'Aglis Total Tonnage'!H4/('Aglis Load Factor'!H4*'Aglis Load Factor'!$AT$2)),0)</f>
        <v>0.31239600384107286</v>
      </c>
      <c r="AD4" s="44">
        <f>IFERROR(IF('Aglis Total Tonnage'!I4/('Aglis Load Factor'!I4*'Aglis Load Factor'!$AT$2)&gt;1,1,'Aglis Total Tonnage'!I4/('Aglis Load Factor'!I4*'Aglis Load Factor'!$AT$2)),0)</f>
        <v>0.3176651727804361</v>
      </c>
      <c r="AE4" s="44">
        <f>IFERROR(IF('Aglis Total Tonnage'!J4/('Aglis Load Factor'!J4*'Aglis Load Factor'!$AT$2)&gt;1,1,'Aglis Total Tonnage'!J4/('Aglis Load Factor'!J4*'Aglis Load Factor'!$AT$2)),0)</f>
        <v>0.32457719829877751</v>
      </c>
      <c r="AF4" s="44">
        <f>IFERROR(IF('Aglis Total Tonnage'!K4/('Aglis Load Factor'!K4*'Aglis Load Factor'!$AT$2)&gt;1,1,'Aglis Total Tonnage'!K4/('Aglis Load Factor'!K4*'Aglis Load Factor'!$AT$2)),0)</f>
        <v>0.33286377777777781</v>
      </c>
      <c r="AG4" s="44">
        <f>IFERROR(IF('Aglis Total Tonnage'!L4/('Aglis Load Factor'!L4*'Aglis Load Factor'!$AT$2)&gt;1,1,'Aglis Total Tonnage'!L4/('Aglis Load Factor'!L4*'Aglis Load Factor'!$AT$2)),0)</f>
        <v>0.33669399111111109</v>
      </c>
      <c r="AH4" s="44">
        <f>IFERROR(IF('Aglis Total Tonnage'!M4/('Aglis Load Factor'!M4*'Aglis Load Factor'!$AT$2)&gt;1,1,'Aglis Total Tonnage'!M4/('Aglis Load Factor'!M4*'Aglis Load Factor'!$AT$2)),0)</f>
        <v>0.34266409266409281</v>
      </c>
      <c r="AI4" s="44">
        <f>IFERROR(IF('Aglis Total Tonnage'!N4/('Aglis Load Factor'!N4*'Aglis Load Factor'!$AT$2)&gt;1,1,'Aglis Total Tonnage'!N4/('Aglis Load Factor'!N4*'Aglis Load Factor'!$AT$2)),0)</f>
        <v>0.34266409266409281</v>
      </c>
      <c r="AJ4" s="44">
        <f>IFERROR(IF('Aglis Total Tonnage'!O4/('Aglis Load Factor'!O4*'Aglis Load Factor'!$AT$2)&gt;1,1,'Aglis Total Tonnage'!O4/('Aglis Load Factor'!O4*'Aglis Load Factor'!$AT$2)),0)</f>
        <v>0.34951737451737469</v>
      </c>
      <c r="AK4" s="44">
        <f>IFERROR(IF('Aglis Total Tonnage'!P4/('Aglis Load Factor'!P4*'Aglis Load Factor'!$AT$2)&gt;1,1,'Aglis Total Tonnage'!P4/('Aglis Load Factor'!P4*'Aglis Load Factor'!$AT$2)),0)</f>
        <v>0.34951737451737469</v>
      </c>
      <c r="AL4" s="44">
        <f>IFERROR(IF('Aglis Total Tonnage'!Q4/('Aglis Load Factor'!Q4*'Aglis Load Factor'!$AT$2)&gt;1,1,'Aglis Total Tonnage'!Q4/('Aglis Load Factor'!Q4*'Aglis Load Factor'!$AT$2)),0)</f>
        <v>0.34951737451737469</v>
      </c>
      <c r="AM4" s="44">
        <f>IFERROR(IF('Aglis Total Tonnage'!R4/('Aglis Load Factor'!R4*'Aglis Load Factor'!$AT$2)&gt;1,1,'Aglis Total Tonnage'!R4/('Aglis Load Factor'!R4*'Aglis Load Factor'!$AT$2)),0)</f>
        <v>0.3491950778666667</v>
      </c>
      <c r="AN4" s="44">
        <f>IFERROR(IF('Aglis Total Tonnage'!S4/('Aglis Load Factor'!S4*'Aglis Load Factor'!$AT$2)&gt;1,1,'Aglis Total Tonnage'!S4/('Aglis Load Factor'!S4*'Aglis Load Factor'!$AT$2)),0)</f>
        <v>0.35636873913599998</v>
      </c>
      <c r="AO4" s="44">
        <f>IFERROR(IF('Aglis Total Tonnage'!T4/('Aglis Load Factor'!T4*'Aglis Load Factor'!$AT$2)&gt;1,1,'Aglis Total Tonnage'!T4/('Aglis Load Factor'!T4*'Aglis Load Factor'!$AT$2)),0)</f>
        <v>0.35650772200772213</v>
      </c>
      <c r="AP4" s="44">
        <f>IFERROR(IF('Aglis Total Tonnage'!U4/('Aglis Load Factor'!U4*'Aglis Load Factor'!$AT$2)&gt;1,1,'Aglis Total Tonnage'!U4/('Aglis Load Factor'!U4*'Aglis Load Factor'!$AT$2)),0)</f>
        <v>0.35650772200772213</v>
      </c>
      <c r="AQ4" s="44">
        <f>IFERROR(IF('Aglis Total Tonnage'!V4/('Aglis Load Factor'!V4*'Aglis Load Factor'!$AT$2)&gt;1,1,'Aglis Total Tonnage'!V4/('Aglis Load Factor'!V4*'Aglis Load Factor'!$AT$2)),0)</f>
        <v>0.35650772200772213</v>
      </c>
      <c r="AU4" s="47" t="s">
        <v>15</v>
      </c>
      <c r="AV4" s="45">
        <f>C4*X4*$AT$2</f>
        <v>7.1000000000000014</v>
      </c>
      <c r="AW4" s="45">
        <f t="shared" ref="AW4:BO4" si="0">D4*Y4*$AT$2</f>
        <v>6.6370799999999983</v>
      </c>
      <c r="AX4" s="45">
        <f t="shared" si="0"/>
        <v>7.037519999999998</v>
      </c>
      <c r="AY4" s="45">
        <f t="shared" si="0"/>
        <v>7.4493199999999993</v>
      </c>
      <c r="AZ4" s="45">
        <f t="shared" si="0"/>
        <v>8.2037102870813428</v>
      </c>
      <c r="BA4" s="45">
        <f t="shared" si="0"/>
        <v>8.4346921037089668</v>
      </c>
      <c r="BB4" s="45">
        <f t="shared" si="0"/>
        <v>8.5769596650717741</v>
      </c>
      <c r="BC4" s="45">
        <f t="shared" si="0"/>
        <v>8.7635843540669924</v>
      </c>
      <c r="BD4" s="45">
        <f t="shared" si="0"/>
        <v>8.9873220000000007</v>
      </c>
      <c r="BE4" s="45">
        <f t="shared" si="0"/>
        <v>9.0907377599999997</v>
      </c>
      <c r="BF4" s="45">
        <f t="shared" si="0"/>
        <v>9.2519305019305058</v>
      </c>
      <c r="BG4" s="45">
        <f t="shared" si="0"/>
        <v>9.2519305019305058</v>
      </c>
      <c r="BH4" s="45">
        <f t="shared" si="0"/>
        <v>9.4369691119691161</v>
      </c>
      <c r="BI4" s="45">
        <f t="shared" si="0"/>
        <v>9.4369691119691161</v>
      </c>
      <c r="BJ4" s="45">
        <f t="shared" si="0"/>
        <v>9.4369691119691161</v>
      </c>
      <c r="BK4" s="45">
        <f t="shared" si="0"/>
        <v>9.4282671024000013</v>
      </c>
      <c r="BL4" s="45">
        <f t="shared" si="0"/>
        <v>9.6219559566720001</v>
      </c>
      <c r="BM4" s="45">
        <f t="shared" si="0"/>
        <v>9.6257084942084976</v>
      </c>
      <c r="BN4" s="45">
        <f t="shared" si="0"/>
        <v>9.6257084942084976</v>
      </c>
      <c r="BO4" s="45">
        <f t="shared" si="0"/>
        <v>9.6257084942084976</v>
      </c>
    </row>
    <row r="5" spans="1:67">
      <c r="A5" s="108"/>
      <c r="B5" s="47" t="s">
        <v>17</v>
      </c>
      <c r="C5" s="18">
        <v>1</v>
      </c>
      <c r="D5" s="18">
        <v>1</v>
      </c>
      <c r="E5" s="18">
        <v>1</v>
      </c>
      <c r="F5" s="18">
        <v>1</v>
      </c>
      <c r="G5" s="18">
        <v>1</v>
      </c>
      <c r="H5" s="18">
        <v>1</v>
      </c>
      <c r="I5" s="18">
        <v>1</v>
      </c>
      <c r="J5" s="18">
        <v>1</v>
      </c>
      <c r="K5" s="18">
        <v>1</v>
      </c>
      <c r="L5" s="18">
        <v>1</v>
      </c>
      <c r="M5" s="18">
        <v>1</v>
      </c>
      <c r="N5" s="18">
        <v>1</v>
      </c>
      <c r="O5" s="18">
        <v>1</v>
      </c>
      <c r="P5" s="18">
        <v>1</v>
      </c>
      <c r="Q5" s="18">
        <v>1</v>
      </c>
      <c r="R5" s="18">
        <v>1</v>
      </c>
      <c r="S5" s="18">
        <v>1</v>
      </c>
      <c r="T5" s="18">
        <v>1</v>
      </c>
      <c r="U5" s="18">
        <v>1</v>
      </c>
      <c r="V5" s="18">
        <v>1</v>
      </c>
      <c r="W5" s="47" t="s">
        <v>17</v>
      </c>
      <c r="X5" s="44">
        <f>IFERROR(IF('Aglis Total Tonnage'!C5/('Aglis Load Factor'!C5*'Aglis Load Factor'!$AT$2)&gt;1,1,'Aglis Total Tonnage'!C5/('Aglis Load Factor'!C5*'Aglis Load Factor'!$AT$2)),0)</f>
        <v>0.44444444444444442</v>
      </c>
      <c r="Y5" s="44">
        <f>IFERROR(IF('Aglis Total Tonnage'!D5/('Aglis Load Factor'!D5*'Aglis Load Factor'!$AT$2)&gt;1,1,'Aglis Total Tonnage'!D5/('Aglis Load Factor'!D5*'Aglis Load Factor'!$AT$2)),0)</f>
        <v>0.45940246913580246</v>
      </c>
      <c r="Z5" s="44">
        <f>IFERROR(IF('Aglis Total Tonnage'!E5/('Aglis Load Factor'!E5*'Aglis Load Factor'!$AT$2)&gt;1,1,'Aglis Total Tonnage'!E5/('Aglis Load Factor'!E5*'Aglis Load Factor'!$AT$2)),0)</f>
        <v>0.47060740740740747</v>
      </c>
      <c r="AA5" s="44">
        <f>IFERROR(IF('Aglis Total Tonnage'!F5/('Aglis Load Factor'!F5*'Aglis Load Factor'!$AT$2)&gt;1,1,'Aglis Total Tonnage'!F5/('Aglis Load Factor'!F5*'Aglis Load Factor'!$AT$2)),0)</f>
        <v>0.48181234567901232</v>
      </c>
      <c r="AB5" s="44">
        <f>IFERROR(IF('Aglis Total Tonnage'!G5/('Aglis Load Factor'!G5*'Aglis Load Factor'!$AT$2)&gt;1,1,'Aglis Total Tonnage'!G5/('Aglis Load Factor'!G5*'Aglis Load Factor'!$AT$2)),0)</f>
        <v>0.52626188523000916</v>
      </c>
      <c r="AC5" s="44">
        <f>IFERROR(IF('Aglis Total Tonnage'!H5/('Aglis Load Factor'!H5*'Aglis Load Factor'!$AT$2)&gt;1,1,'Aglis Total Tonnage'!H5/('Aglis Load Factor'!H5*'Aglis Load Factor'!$AT$2)),0)</f>
        <v>0.5410791961806074</v>
      </c>
      <c r="AD5" s="44">
        <f>IFERROR(IF('Aglis Total Tonnage'!I5/('Aglis Load Factor'!I5*'Aglis Load Factor'!$AT$2)&gt;1,1,'Aglis Total Tonnage'!I5/('Aglis Load Factor'!I5*'Aglis Load Factor'!$AT$2)),0)</f>
        <v>0.55020555394189585</v>
      </c>
      <c r="AE5" s="44">
        <f>IFERROR(IF('Aglis Total Tonnage'!J5/('Aglis Load Factor'!J5*'Aglis Load Factor'!$AT$2)&gt;1,1,'Aglis Total Tonnage'!J5/('Aglis Load Factor'!J5*'Aglis Load Factor'!$AT$2)),0)</f>
        <v>0.56217738829783925</v>
      </c>
      <c r="AF5" s="44">
        <f>IFERROR(IF('Aglis Total Tonnage'!K5/('Aglis Load Factor'!K5*'Aglis Load Factor'!$AT$2)&gt;1,1,'Aglis Total Tonnage'!K5/('Aglis Load Factor'!K5*'Aglis Load Factor'!$AT$2)),0)</f>
        <v>0.58743799141646402</v>
      </c>
      <c r="AG5" s="44">
        <f>IFERROR(IF('Aglis Total Tonnage'!L5/('Aglis Load Factor'!L5*'Aglis Load Factor'!$AT$2)&gt;1,1,'Aglis Total Tonnage'!L5/('Aglis Load Factor'!L5*'Aglis Load Factor'!$AT$2)),0)</f>
        <v>0.59249130199424183</v>
      </c>
      <c r="AH5" s="44">
        <f>IFERROR(IF('Aglis Total Tonnage'!M5/('Aglis Load Factor'!M5*'Aglis Load Factor'!$AT$2)&gt;1,1,'Aglis Total Tonnage'!M5/('Aglis Load Factor'!M5*'Aglis Load Factor'!$AT$2)),0)</f>
        <v>0.59754461257201952</v>
      </c>
      <c r="AI5" s="44">
        <f>IFERROR(IF('Aglis Total Tonnage'!N5/('Aglis Load Factor'!N5*'Aglis Load Factor'!$AT$2)&gt;1,1,'Aglis Total Tonnage'!N5/('Aglis Load Factor'!N5*'Aglis Load Factor'!$AT$2)),0)</f>
        <v>0.60259792314979721</v>
      </c>
      <c r="AJ5" s="44">
        <f>IFERROR(IF('Aglis Total Tonnage'!O5/('Aglis Load Factor'!O5*'Aglis Load Factor'!$AT$2)&gt;1,1,'Aglis Total Tonnage'!O5/('Aglis Load Factor'!O5*'Aglis Load Factor'!$AT$2)),0)</f>
        <v>0.60259792314979721</v>
      </c>
      <c r="AK5" s="44">
        <f>IFERROR(IF('Aglis Total Tonnage'!P5/('Aglis Load Factor'!P5*'Aglis Load Factor'!$AT$2)&gt;1,1,'Aglis Total Tonnage'!P5/('Aglis Load Factor'!P5*'Aglis Load Factor'!$AT$2)),0)</f>
        <v>0.60259792314979721</v>
      </c>
      <c r="AL5" s="44">
        <f>IFERROR(IF('Aglis Total Tonnage'!Q5/('Aglis Load Factor'!Q5*'Aglis Load Factor'!$AT$2)&gt;1,1,'Aglis Total Tonnage'!Q5/('Aglis Load Factor'!Q5*'Aglis Load Factor'!$AT$2)),0)</f>
        <v>0.60259792314979721</v>
      </c>
      <c r="AM5" s="44">
        <f>IFERROR(IF('Aglis Total Tonnage'!R5/('Aglis Load Factor'!R5*'Aglis Load Factor'!$AT$2)&gt;1,1,'Aglis Total Tonnage'!R5/('Aglis Load Factor'!R5*'Aglis Load Factor'!$AT$2)),0)</f>
        <v>0.60259792314979721</v>
      </c>
      <c r="AN5" s="44">
        <f>IFERROR(IF('Aglis Total Tonnage'!S5/('Aglis Load Factor'!S5*'Aglis Load Factor'!$AT$2)&gt;1,1,'Aglis Total Tonnage'!S5/('Aglis Load Factor'!S5*'Aglis Load Factor'!$AT$2)),0)</f>
        <v>0.60259792314979721</v>
      </c>
      <c r="AO5" s="44">
        <f>IFERROR(IF('Aglis Total Tonnage'!T5/('Aglis Load Factor'!T5*'Aglis Load Factor'!$AT$2)&gt;1,1,'Aglis Total Tonnage'!T5/('Aglis Load Factor'!T5*'Aglis Load Factor'!$AT$2)),0)</f>
        <v>0.60259792314979721</v>
      </c>
      <c r="AP5" s="44">
        <f>IFERROR(IF('Aglis Total Tonnage'!U5/('Aglis Load Factor'!U5*'Aglis Load Factor'!$AT$2)&gt;1,1,'Aglis Total Tonnage'!U5/('Aglis Load Factor'!U5*'Aglis Load Factor'!$AT$2)),0)</f>
        <v>0.60644806454238986</v>
      </c>
      <c r="AQ5" s="44">
        <f>IFERROR(IF('Aglis Total Tonnage'!V5/('Aglis Load Factor'!V5*'Aglis Load Factor'!$AT$2)&gt;1,1,'Aglis Total Tonnage'!V5/('Aglis Load Factor'!V5*'Aglis Load Factor'!$AT$2)),0)</f>
        <v>0.60644806454238986</v>
      </c>
      <c r="AU5" s="47" t="s">
        <v>17</v>
      </c>
      <c r="AV5" s="45">
        <f t="shared" ref="AV5:AV20" si="1">C5*X5*$AT$2</f>
        <v>12</v>
      </c>
      <c r="AW5" s="45">
        <f t="shared" ref="AW5:AW20" si="2">D5*Y5*$AT$2</f>
        <v>12.403866666666666</v>
      </c>
      <c r="AX5" s="45">
        <f t="shared" ref="AX5:AX20" si="3">E5*Z5*$AT$2</f>
        <v>12.706400000000002</v>
      </c>
      <c r="AY5" s="45">
        <f t="shared" ref="AY5:AY20" si="4">F5*AA5*$AT$2</f>
        <v>13.008933333333333</v>
      </c>
      <c r="AZ5" s="45">
        <f t="shared" ref="AZ5:AZ20" si="5">G5*AB5*$AT$2</f>
        <v>14.209070901210247</v>
      </c>
      <c r="BA5" s="45">
        <f t="shared" ref="BA5:BA20" si="6">H5*AC5*$AT$2</f>
        <v>14.609138296876401</v>
      </c>
      <c r="BB5" s="45">
        <f t="shared" ref="BB5:BB20" si="7">I5*AD5*$AT$2</f>
        <v>14.855549956431188</v>
      </c>
      <c r="BC5" s="45">
        <f t="shared" ref="BC5:BC20" si="8">J5*AE5*$AT$2</f>
        <v>15.17878948404166</v>
      </c>
      <c r="BD5" s="45">
        <f t="shared" ref="BD5:BD20" si="9">K5*AF5*$AT$2</f>
        <v>15.860825768244528</v>
      </c>
      <c r="BE5" s="45">
        <f t="shared" ref="BE5:BE20" si="10">L5*AG5*$AT$2</f>
        <v>15.997265153844529</v>
      </c>
      <c r="BF5" s="45">
        <f t="shared" ref="BF5:BF20" si="11">M5*AH5*$AT$2</f>
        <v>16.133704539444526</v>
      </c>
      <c r="BG5" s="45">
        <f t="shared" ref="BG5:BG20" si="12">N5*AI5*$AT$2</f>
        <v>16.270143925044525</v>
      </c>
      <c r="BH5" s="45">
        <f t="shared" ref="BH5:BH20" si="13">O5*AJ5*$AT$2</f>
        <v>16.270143925044525</v>
      </c>
      <c r="BI5" s="45">
        <f t="shared" ref="BI5:BI20" si="14">P5*AK5*$AT$2</f>
        <v>16.270143925044525</v>
      </c>
      <c r="BJ5" s="45">
        <f t="shared" ref="BJ5:BJ20" si="15">Q5*AL5*$AT$2</f>
        <v>16.270143925044525</v>
      </c>
      <c r="BK5" s="45">
        <f t="shared" ref="BK5:BK20" si="16">R5*AM5*$AT$2</f>
        <v>16.270143925044525</v>
      </c>
      <c r="BL5" s="45">
        <f t="shared" ref="BL5:BL20" si="17">S5*AN5*$AT$2</f>
        <v>16.270143925044525</v>
      </c>
      <c r="BM5" s="45">
        <f t="shared" ref="BM5:BM20" si="18">T5*AO5*$AT$2</f>
        <v>16.270143925044525</v>
      </c>
      <c r="BN5" s="45">
        <f t="shared" ref="BN5:BN20" si="19">U5*AP5*$AT$2</f>
        <v>16.374097742644526</v>
      </c>
      <c r="BO5" s="45">
        <f t="shared" ref="BO5:BO20" si="20">V5*AQ5*$AT$2</f>
        <v>16.374097742644526</v>
      </c>
    </row>
    <row r="6" spans="1:67">
      <c r="A6" s="108"/>
      <c r="B6" s="47" t="s">
        <v>14</v>
      </c>
      <c r="C6" s="18">
        <v>1</v>
      </c>
      <c r="D6" s="18">
        <v>1</v>
      </c>
      <c r="E6" s="18">
        <v>1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8">
        <v>1</v>
      </c>
      <c r="L6" s="18">
        <v>1</v>
      </c>
      <c r="M6" s="18">
        <v>1</v>
      </c>
      <c r="N6" s="18">
        <v>1</v>
      </c>
      <c r="O6" s="18">
        <v>1</v>
      </c>
      <c r="P6" s="18">
        <v>1</v>
      </c>
      <c r="Q6" s="18">
        <v>1</v>
      </c>
      <c r="R6" s="18">
        <v>1</v>
      </c>
      <c r="S6" s="18">
        <v>1</v>
      </c>
      <c r="T6" s="18">
        <v>1</v>
      </c>
      <c r="U6" s="18">
        <v>1</v>
      </c>
      <c r="V6" s="18">
        <v>1</v>
      </c>
      <c r="W6" s="47" t="s">
        <v>14</v>
      </c>
      <c r="X6" s="44">
        <f>IFERROR(IF('Aglis Total Tonnage'!C6/('Aglis Load Factor'!C6*'Aglis Load Factor'!$AT$2)&gt;1,1,'Aglis Total Tonnage'!C6/('Aglis Load Factor'!C6*'Aglis Load Factor'!$AT$2)),0)</f>
        <v>0.60162962962962951</v>
      </c>
      <c r="Y6" s="44">
        <f>IFERROR(IF('Aglis Total Tonnage'!D6/('Aglis Load Factor'!D6*'Aglis Load Factor'!$AT$2)&gt;1,1,'Aglis Total Tonnage'!D6/('Aglis Load Factor'!D6*'Aglis Load Factor'!$AT$2)),0)</f>
        <v>0.61667037037037031</v>
      </c>
      <c r="Z6" s="44">
        <f>IFERROR(IF('Aglis Total Tonnage'!E6/('Aglis Load Factor'!E6*'Aglis Load Factor'!$AT$2)&gt;1,1,'Aglis Total Tonnage'!E6/('Aglis Load Factor'!E6*'Aglis Load Factor'!$AT$2)),0)</f>
        <v>0.63171111111111111</v>
      </c>
      <c r="AA6" s="44">
        <f>IFERROR(IF('Aglis Total Tonnage'!F6/('Aglis Load Factor'!F6*'Aglis Load Factor'!$AT$2)&gt;1,1,'Aglis Total Tonnage'!F6/('Aglis Load Factor'!F6*'Aglis Load Factor'!$AT$2)),0)</f>
        <v>0.6467518518518518</v>
      </c>
      <c r="AB6" s="44">
        <f>IFERROR(IF('Aglis Total Tonnage'!G6/('Aglis Load Factor'!G6*'Aglis Load Factor'!$AT$2)&gt;1,1,'Aglis Total Tonnage'!G6/('Aglis Load Factor'!G6*'Aglis Load Factor'!$AT$2)),0)</f>
        <v>0.69567449808716686</v>
      </c>
      <c r="AC6" s="44">
        <f>IFERROR(IF('Aglis Total Tonnage'!H6/('Aglis Load Factor'!H6*'Aglis Load Factor'!$AT$2)&gt;1,1,'Aglis Total Tonnage'!H6/('Aglis Load Factor'!H6*'Aglis Load Factor'!$AT$2)),0)</f>
        <v>0.71526175235707057</v>
      </c>
      <c r="AD6" s="44">
        <f>IFERROR(IF('Aglis Total Tonnage'!I6/('Aglis Load Factor'!I6*'Aglis Load Factor'!$AT$2)&gt;1,1,'Aglis Total Tonnage'!I6/('Aglis Load Factor'!I6*'Aglis Load Factor'!$AT$2)),0)</f>
        <v>0.72732603923236505</v>
      </c>
      <c r="AE6" s="44">
        <f>IFERROR(IF('Aglis Total Tonnage'!J6/('Aglis Load Factor'!J6*'Aglis Load Factor'!$AT$2)&gt;1,1,'Aglis Total Tonnage'!J6/('Aglis Load Factor'!J6*'Aglis Load Factor'!$AT$2)),0)</f>
        <v>0.74315180980496442</v>
      </c>
      <c r="AF6" s="44">
        <f>IFERROR(IF('Aglis Total Tonnage'!K6/('Aglis Load Factor'!K6*'Aglis Load Factor'!$AT$2)&gt;1,1,'Aglis Total Tonnage'!K6/('Aglis Load Factor'!K6*'Aglis Load Factor'!$AT$2)),0)</f>
        <v>0.79788866627565769</v>
      </c>
      <c r="AG6" s="44">
        <f>IFERROR(IF('Aglis Total Tonnage'!L6/('Aglis Load Factor'!L6*'Aglis Load Factor'!$AT$2)&gt;1,1,'Aglis Total Tonnage'!L6/('Aglis Load Factor'!L6*'Aglis Load Factor'!$AT$2)),0)</f>
        <v>0.8</v>
      </c>
      <c r="AH6" s="44">
        <f>IFERROR(IF('Aglis Total Tonnage'!M6/('Aglis Load Factor'!M6*'Aglis Load Factor'!$AT$2)&gt;1,1,'Aglis Total Tonnage'!M6/('Aglis Load Factor'!M6*'Aglis Load Factor'!$AT$2)),0)</f>
        <v>0.8</v>
      </c>
      <c r="AI6" s="44">
        <f>IFERROR(IF('Aglis Total Tonnage'!N6/('Aglis Load Factor'!N6*'Aglis Load Factor'!$AT$2)&gt;1,1,'Aglis Total Tonnage'!N6/('Aglis Load Factor'!N6*'Aglis Load Factor'!$AT$2)),0)</f>
        <v>0.8</v>
      </c>
      <c r="AJ6" s="44">
        <f>IFERROR(IF('Aglis Total Tonnage'!O6/('Aglis Load Factor'!O6*'Aglis Load Factor'!$AT$2)&gt;1,1,'Aglis Total Tonnage'!O6/('Aglis Load Factor'!O6*'Aglis Load Factor'!$AT$2)),0)</f>
        <v>0.8</v>
      </c>
      <c r="AK6" s="44">
        <f>IFERROR(IF('Aglis Total Tonnage'!P6/('Aglis Load Factor'!P6*'Aglis Load Factor'!$AT$2)&gt;1,1,'Aglis Total Tonnage'!P6/('Aglis Load Factor'!P6*'Aglis Load Factor'!$AT$2)),0)</f>
        <v>0.8</v>
      </c>
      <c r="AL6" s="44">
        <f>IFERROR(IF('Aglis Total Tonnage'!Q6/('Aglis Load Factor'!Q6*'Aglis Load Factor'!$AT$2)&gt;1,1,'Aglis Total Tonnage'!Q6/('Aglis Load Factor'!Q6*'Aglis Load Factor'!$AT$2)),0)</f>
        <v>0.8</v>
      </c>
      <c r="AM6" s="44">
        <f>IFERROR(IF('Aglis Total Tonnage'!R6/('Aglis Load Factor'!R6*'Aglis Load Factor'!$AT$2)&gt;1,1,'Aglis Total Tonnage'!R6/('Aglis Load Factor'!R6*'Aglis Load Factor'!$AT$2)),0)</f>
        <v>0.8</v>
      </c>
      <c r="AN6" s="44">
        <f>IFERROR(IF('Aglis Total Tonnage'!S6/('Aglis Load Factor'!S6*'Aglis Load Factor'!$AT$2)&gt;1,1,'Aglis Total Tonnage'!S6/('Aglis Load Factor'!S6*'Aglis Load Factor'!$AT$2)),0)</f>
        <v>0.8</v>
      </c>
      <c r="AO6" s="44">
        <f>IFERROR(IF('Aglis Total Tonnage'!T6/('Aglis Load Factor'!T6*'Aglis Load Factor'!$AT$2)&gt;1,1,'Aglis Total Tonnage'!T6/('Aglis Load Factor'!T6*'Aglis Load Factor'!$AT$2)),0)</f>
        <v>0.8</v>
      </c>
      <c r="AP6" s="44">
        <f>IFERROR(IF('Aglis Total Tonnage'!U6/('Aglis Load Factor'!U6*'Aglis Load Factor'!$AT$2)&gt;1,1,'Aglis Total Tonnage'!U6/('Aglis Load Factor'!U6*'Aglis Load Factor'!$AT$2)),0)</f>
        <v>0.8</v>
      </c>
      <c r="AQ6" s="44">
        <f>IFERROR(IF('Aglis Total Tonnage'!V6/('Aglis Load Factor'!V6*'Aglis Load Factor'!$AT$2)&gt;1,1,'Aglis Total Tonnage'!V6/('Aglis Load Factor'!V6*'Aglis Load Factor'!$AT$2)),0)</f>
        <v>0.8</v>
      </c>
      <c r="AU6" s="47" t="s">
        <v>14</v>
      </c>
      <c r="AV6" s="45">
        <f t="shared" si="1"/>
        <v>16.243999999999996</v>
      </c>
      <c r="AW6" s="45">
        <f t="shared" si="2"/>
        <v>16.650099999999998</v>
      </c>
      <c r="AX6" s="45">
        <f t="shared" si="3"/>
        <v>17.0562</v>
      </c>
      <c r="AY6" s="45">
        <f t="shared" si="4"/>
        <v>17.462299999999999</v>
      </c>
      <c r="AZ6" s="45">
        <f t="shared" si="5"/>
        <v>18.783211448353505</v>
      </c>
      <c r="BA6" s="45">
        <f t="shared" si="6"/>
        <v>19.312067313640906</v>
      </c>
      <c r="BB6" s="45">
        <f t="shared" si="7"/>
        <v>19.637803059273857</v>
      </c>
      <c r="BC6" s="45">
        <f t="shared" si="8"/>
        <v>20.06509886473404</v>
      </c>
      <c r="BD6" s="45">
        <f t="shared" si="9"/>
        <v>21.542993989442756</v>
      </c>
      <c r="BE6" s="45">
        <f t="shared" si="10"/>
        <v>21.6</v>
      </c>
      <c r="BF6" s="45">
        <f t="shared" si="11"/>
        <v>21.6</v>
      </c>
      <c r="BG6" s="45">
        <f t="shared" si="12"/>
        <v>21.6</v>
      </c>
      <c r="BH6" s="45">
        <f t="shared" si="13"/>
        <v>21.6</v>
      </c>
      <c r="BI6" s="45">
        <f t="shared" si="14"/>
        <v>21.6</v>
      </c>
      <c r="BJ6" s="45">
        <f t="shared" si="15"/>
        <v>21.6</v>
      </c>
      <c r="BK6" s="45">
        <f t="shared" si="16"/>
        <v>21.6</v>
      </c>
      <c r="BL6" s="45">
        <f t="shared" si="17"/>
        <v>21.6</v>
      </c>
      <c r="BM6" s="45">
        <f t="shared" si="18"/>
        <v>21.6</v>
      </c>
      <c r="BN6" s="45">
        <f t="shared" si="19"/>
        <v>21.6</v>
      </c>
      <c r="BO6" s="45">
        <f t="shared" si="20"/>
        <v>21.6</v>
      </c>
    </row>
    <row r="7" spans="1:67">
      <c r="A7" s="108"/>
      <c r="B7" s="47" t="s">
        <v>16</v>
      </c>
      <c r="C7" s="18">
        <v>1</v>
      </c>
      <c r="D7" s="18">
        <v>1</v>
      </c>
      <c r="E7" s="18">
        <v>1</v>
      </c>
      <c r="F7" s="18">
        <v>1</v>
      </c>
      <c r="G7" s="18">
        <v>1</v>
      </c>
      <c r="H7" s="18">
        <v>1</v>
      </c>
      <c r="I7" s="18">
        <v>1</v>
      </c>
      <c r="J7" s="18">
        <v>1</v>
      </c>
      <c r="K7" s="18">
        <v>1</v>
      </c>
      <c r="L7" s="18">
        <v>1</v>
      </c>
      <c r="M7" s="18">
        <v>1</v>
      </c>
      <c r="N7" s="18">
        <v>1</v>
      </c>
      <c r="O7" s="18">
        <v>1</v>
      </c>
      <c r="P7" s="18">
        <v>1</v>
      </c>
      <c r="Q7" s="18">
        <v>1</v>
      </c>
      <c r="R7" s="18">
        <v>1</v>
      </c>
      <c r="S7" s="18">
        <v>1</v>
      </c>
      <c r="T7" s="18">
        <v>1</v>
      </c>
      <c r="U7" s="18">
        <v>1</v>
      </c>
      <c r="V7" s="18">
        <v>1</v>
      </c>
      <c r="W7" s="47" t="s">
        <v>16</v>
      </c>
      <c r="X7" s="44">
        <f>IFERROR(IF('Aglis Total Tonnage'!C7/('Aglis Load Factor'!C7*'Aglis Load Factor'!$AT$2)&gt;1,1,'Aglis Total Tonnage'!C7/('Aglis Load Factor'!C7*'Aglis Load Factor'!$AT$2)),0)</f>
        <v>0.33155555555555544</v>
      </c>
      <c r="Y7" s="44">
        <f>IFERROR(IF('Aglis Total Tonnage'!D7/('Aglis Load Factor'!D7*'Aglis Load Factor'!$AT$2)&gt;1,1,'Aglis Total Tonnage'!D7/('Aglis Load Factor'!D7*'Aglis Load Factor'!$AT$2)),0)</f>
        <v>0.33708148148148137</v>
      </c>
      <c r="Z7" s="44">
        <f>IFERROR(IF('Aglis Total Tonnage'!E7/('Aglis Load Factor'!E7*'Aglis Load Factor'!$AT$2)&gt;1,1,'Aglis Total Tonnage'!E7/('Aglis Load Factor'!E7*'Aglis Load Factor'!$AT$2)),0)</f>
        <v>0.34282844444444432</v>
      </c>
      <c r="AA7" s="44">
        <f>IFERROR(IF('Aglis Total Tonnage'!F7/('Aglis Load Factor'!F7*'Aglis Load Factor'!$AT$2)&gt;1,1,'Aglis Total Tonnage'!F7/('Aglis Load Factor'!F7*'Aglis Load Factor'!$AT$2)),0)</f>
        <v>0.34769125925925909</v>
      </c>
      <c r="AB7" s="44">
        <f>IFERROR(IF('Aglis Total Tonnage'!G7/('Aglis Load Factor'!G7*'Aglis Load Factor'!$AT$2)&gt;1,1,'Aglis Total Tonnage'!G7/('Aglis Load Factor'!G7*'Aglis Load Factor'!$AT$2)),0)</f>
        <v>0.36343793777777766</v>
      </c>
      <c r="AC7" s="44">
        <f>IFERROR(IF('Aglis Total Tonnage'!H7/('Aglis Load Factor'!H7*'Aglis Load Factor'!$AT$2)&gt;1,1,'Aglis Total Tonnage'!H7/('Aglis Load Factor'!H7*'Aglis Load Factor'!$AT$2)),0)</f>
        <v>0.3668198044444444</v>
      </c>
      <c r="AD7" s="44">
        <f>IFERROR(IF('Aglis Total Tonnage'!I7/('Aglis Load Factor'!I7*'Aglis Load Factor'!$AT$2)&gt;1,1,'Aglis Total Tonnage'!I7/('Aglis Load Factor'!I7*'Aglis Load Factor'!$AT$2)),0)</f>
        <v>0.3668198044444444</v>
      </c>
      <c r="AE7" s="44">
        <f>IFERROR(IF('Aglis Total Tonnage'!J7/('Aglis Load Factor'!J7*'Aglis Load Factor'!$AT$2)&gt;1,1,'Aglis Total Tonnage'!J7/('Aglis Load Factor'!J7*'Aglis Load Factor'!$AT$2)),0)</f>
        <v>0.36884892444444434</v>
      </c>
      <c r="AF7" s="44">
        <f>IFERROR(IF('Aglis Total Tonnage'!K7/('Aglis Load Factor'!K7*'Aglis Load Factor'!$AT$2)&gt;1,1,'Aglis Total Tonnage'!K7/('Aglis Load Factor'!K7*'Aglis Load Factor'!$AT$2)),0)</f>
        <v>0.38059527466666659</v>
      </c>
      <c r="AG7" s="44">
        <f>IFERROR(IF('Aglis Total Tonnage'!L7/('Aglis Load Factor'!L7*'Aglis Load Factor'!$AT$2)&gt;1,1,'Aglis Total Tonnage'!L7/('Aglis Load Factor'!L7*'Aglis Load Factor'!$AT$2)),0)</f>
        <v>0.38427474559999991</v>
      </c>
      <c r="AH7" s="44">
        <f>IFERROR(IF('Aglis Total Tonnage'!M7/('Aglis Load Factor'!M7*'Aglis Load Factor'!$AT$2)&gt;1,1,'Aglis Total Tonnage'!M7/('Aglis Load Factor'!M7*'Aglis Load Factor'!$AT$2)),0)</f>
        <v>0.38565454719999992</v>
      </c>
      <c r="AI7" s="44">
        <f>IFERROR(IF('Aglis Total Tonnage'!N7/('Aglis Load Factor'!N7*'Aglis Load Factor'!$AT$2)&gt;1,1,'Aglis Total Tonnage'!N7/('Aglis Load Factor'!N7*'Aglis Load Factor'!$AT$2)),0)</f>
        <v>0.38841415039999988</v>
      </c>
      <c r="AJ7" s="44">
        <f>IFERROR(IF('Aglis Total Tonnage'!O7/('Aglis Load Factor'!O7*'Aglis Load Factor'!$AT$2)&gt;1,1,'Aglis Total Tonnage'!O7/('Aglis Load Factor'!O7*'Aglis Load Factor'!$AT$2)),0)</f>
        <v>0.40110832511999994</v>
      </c>
      <c r="AK7" s="44">
        <f>IFERROR(IF('Aglis Total Tonnage'!P7/('Aglis Load Factor'!P7*'Aglis Load Factor'!$AT$2)&gt;1,1,'Aglis Total Tonnage'!P7/('Aglis Load Factor'!P7*'Aglis Load Factor'!$AT$2)),0)</f>
        <v>0.40720704819199988</v>
      </c>
      <c r="AL7" s="44">
        <f>IFERROR(IF('Aglis Total Tonnage'!Q7/('Aglis Load Factor'!Q7*'Aglis Load Factor'!$AT$2)&gt;1,1,'Aglis Total Tonnage'!Q7/('Aglis Load Factor'!Q7*'Aglis Load Factor'!$AT$2)),0)</f>
        <v>0.41447860262399988</v>
      </c>
      <c r="AM7" s="44">
        <f>IFERROR(IF('Aglis Total Tonnage'!R7/('Aglis Load Factor'!R7*'Aglis Load Factor'!$AT$2)&gt;1,1,'Aglis Total Tonnage'!R7/('Aglis Load Factor'!R7*'Aglis Load Factor'!$AT$2)),0)</f>
        <v>0.42456495231999997</v>
      </c>
      <c r="AN7" s="44">
        <f>IFERROR(IF('Aglis Total Tonnage'!S7/('Aglis Load Factor'!S7*'Aglis Load Factor'!$AT$2)&gt;1,1,'Aglis Total Tonnage'!S7/('Aglis Load Factor'!S7*'Aglis Load Factor'!$AT$2)),0)</f>
        <v>0.43855917610751988</v>
      </c>
      <c r="AO7" s="44">
        <f>IFERROR(IF('Aglis Total Tonnage'!T7/('Aglis Load Factor'!T7*'Aglis Load Factor'!$AT$2)&gt;1,1,'Aglis Total Tonnage'!T7/('Aglis Load Factor'!T7*'Aglis Load Factor'!$AT$2)),0)</f>
        <v>0.45052205597951989</v>
      </c>
      <c r="AP7" s="44">
        <f>IFERROR(IF('Aglis Total Tonnage'!U7/('Aglis Load Factor'!U7*'Aglis Load Factor'!$AT$2)&gt;1,1,'Aglis Total Tonnage'!U7/('Aglis Load Factor'!U7*'Aglis Load Factor'!$AT$2)),0)</f>
        <v>0.4624849358515199</v>
      </c>
      <c r="AQ7" s="44">
        <f>IFERROR(IF('Aglis Total Tonnage'!V7/('Aglis Load Factor'!V7*'Aglis Load Factor'!$AT$2)&gt;1,1,'Aglis Total Tonnage'!V7/('Aglis Load Factor'!V7*'Aglis Load Factor'!$AT$2)),0)</f>
        <v>0.47444781572351996</v>
      </c>
      <c r="AU7" s="47" t="s">
        <v>16</v>
      </c>
      <c r="AV7" s="45">
        <f t="shared" si="1"/>
        <v>8.9519999999999964</v>
      </c>
      <c r="AW7" s="45">
        <f t="shared" si="2"/>
        <v>9.1011999999999968</v>
      </c>
      <c r="AX7" s="45">
        <f t="shared" si="3"/>
        <v>9.2563679999999966</v>
      </c>
      <c r="AY7" s="45">
        <f t="shared" si="4"/>
        <v>9.3876639999999956</v>
      </c>
      <c r="AZ7" s="45">
        <f t="shared" si="5"/>
        <v>9.8128243199999972</v>
      </c>
      <c r="BA7" s="45">
        <f t="shared" si="6"/>
        <v>9.9041347199999983</v>
      </c>
      <c r="BB7" s="45">
        <f t="shared" si="7"/>
        <v>9.9041347199999983</v>
      </c>
      <c r="BC7" s="45">
        <f t="shared" si="8"/>
        <v>9.9589209599999968</v>
      </c>
      <c r="BD7" s="45">
        <f t="shared" si="9"/>
        <v>10.276072415999998</v>
      </c>
      <c r="BE7" s="45">
        <f t="shared" si="10"/>
        <v>10.375418131199998</v>
      </c>
      <c r="BF7" s="45">
        <f t="shared" si="11"/>
        <v>10.412672774399997</v>
      </c>
      <c r="BG7" s="45">
        <f t="shared" si="12"/>
        <v>10.487182060799997</v>
      </c>
      <c r="BH7" s="45">
        <f t="shared" si="13"/>
        <v>10.829924778239999</v>
      </c>
      <c r="BI7" s="45">
        <f t="shared" si="14"/>
        <v>10.994590301183997</v>
      </c>
      <c r="BJ7" s="45">
        <f t="shared" si="15"/>
        <v>11.190922270847997</v>
      </c>
      <c r="BK7" s="45">
        <f t="shared" si="16"/>
        <v>11.463253712639998</v>
      </c>
      <c r="BL7" s="45">
        <f t="shared" si="17"/>
        <v>11.841097754903037</v>
      </c>
      <c r="BM7" s="45">
        <f t="shared" si="18"/>
        <v>12.164095511447037</v>
      </c>
      <c r="BN7" s="45">
        <f t="shared" si="19"/>
        <v>12.487093267991037</v>
      </c>
      <c r="BO7" s="45">
        <f t="shared" si="20"/>
        <v>12.810091024535039</v>
      </c>
    </row>
    <row r="8" spans="1:67">
      <c r="A8" s="109"/>
      <c r="B8" s="47" t="s">
        <v>18</v>
      </c>
      <c r="C8" s="18">
        <v>1</v>
      </c>
      <c r="D8" s="18">
        <v>1</v>
      </c>
      <c r="E8" s="18">
        <v>1</v>
      </c>
      <c r="F8" s="18">
        <v>1</v>
      </c>
      <c r="G8" s="18">
        <v>1</v>
      </c>
      <c r="H8" s="18">
        <v>1</v>
      </c>
      <c r="I8" s="18">
        <v>1</v>
      </c>
      <c r="J8" s="18">
        <v>1</v>
      </c>
      <c r="K8" s="18">
        <v>1</v>
      </c>
      <c r="L8" s="18">
        <v>1</v>
      </c>
      <c r="M8" s="18">
        <v>1</v>
      </c>
      <c r="N8" s="18">
        <v>1</v>
      </c>
      <c r="O8" s="18">
        <v>1</v>
      </c>
      <c r="P8" s="18">
        <v>1</v>
      </c>
      <c r="Q8" s="18">
        <v>1</v>
      </c>
      <c r="R8" s="18">
        <v>1</v>
      </c>
      <c r="S8" s="18">
        <v>1</v>
      </c>
      <c r="T8" s="18">
        <v>1</v>
      </c>
      <c r="U8" s="18">
        <v>1</v>
      </c>
      <c r="V8" s="18">
        <v>1</v>
      </c>
      <c r="W8" s="47" t="s">
        <v>18</v>
      </c>
      <c r="X8" s="44">
        <f>IFERROR(IF('Aglis Total Tonnage'!C8/('Aglis Load Factor'!C8*'Aglis Load Factor'!$AT$2)&gt;1,1,'Aglis Total Tonnage'!C8/('Aglis Load Factor'!C8*'Aglis Load Factor'!$AT$2)),0)</f>
        <v>0.44599999999999995</v>
      </c>
      <c r="Y8" s="44">
        <f>IFERROR(IF('Aglis Total Tonnage'!D8/('Aglis Load Factor'!D8*'Aglis Load Factor'!$AT$2)&gt;1,1,'Aglis Total Tonnage'!D8/('Aglis Load Factor'!D8*'Aglis Load Factor'!$AT$2)),0)</f>
        <v>0.44599999999999995</v>
      </c>
      <c r="Z8" s="44">
        <f>IFERROR(IF('Aglis Total Tonnage'!E8/('Aglis Load Factor'!E8*'Aglis Load Factor'!$AT$2)&gt;1,1,'Aglis Total Tonnage'!E8/('Aglis Load Factor'!E8*'Aglis Load Factor'!$AT$2)),0)</f>
        <v>0.44599999999999995</v>
      </c>
      <c r="AA8" s="44">
        <f>IFERROR(IF('Aglis Total Tonnage'!F8/('Aglis Load Factor'!F8*'Aglis Load Factor'!$AT$2)&gt;1,1,'Aglis Total Tonnage'!F8/('Aglis Load Factor'!F8*'Aglis Load Factor'!$AT$2)),0)</f>
        <v>0.44599999999999995</v>
      </c>
      <c r="AB8" s="44">
        <f>IFERROR(IF('Aglis Total Tonnage'!G8/('Aglis Load Factor'!G8*'Aglis Load Factor'!$AT$2)&gt;1,1,'Aglis Total Tonnage'!G8/('Aglis Load Factor'!G8*'Aglis Load Factor'!$AT$2)),0)</f>
        <v>0.47306227919317045</v>
      </c>
      <c r="AC8" s="44">
        <f>IFERROR(IF('Aglis Total Tonnage'!H8/('Aglis Load Factor'!H8*'Aglis Load Factor'!$AT$2)&gt;1,1,'Aglis Total Tonnage'!H8/('Aglis Load Factor'!H8*'Aglis Load Factor'!$AT$2)),0)</f>
        <v>0.49163905469899155</v>
      </c>
      <c r="AD8" s="44">
        <f>IFERROR(IF('Aglis Total Tonnage'!I8/('Aglis Load Factor'!I8*'Aglis Load Factor'!$AT$2)&gt;1,1,'Aglis Total Tonnage'!I8/('Aglis Load Factor'!I8*'Aglis Load Factor'!$AT$2)),0)</f>
        <v>0.50308096206548414</v>
      </c>
      <c r="AE8" s="44">
        <f>IFERROR(IF('Aglis Total Tonnage'!J8/('Aglis Load Factor'!J8*'Aglis Load Factor'!$AT$2)&gt;1,1,'Aglis Total Tonnage'!J8/('Aglis Load Factor'!J8*'Aglis Load Factor'!$AT$2)),0)</f>
        <v>0.51809030350164187</v>
      </c>
      <c r="AF8" s="44">
        <f>IFERROR(IF('Aglis Total Tonnage'!K8/('Aglis Load Factor'!K8*'Aglis Load Factor'!$AT$2)&gt;1,1,'Aglis Total Tonnage'!K8/('Aglis Load Factor'!K8*'Aglis Load Factor'!$AT$2)),0)</f>
        <v>0.56091924743649013</v>
      </c>
      <c r="AG8" s="44">
        <f>IFERROR(IF('Aglis Total Tonnage'!L8/('Aglis Load Factor'!L8*'Aglis Load Factor'!$AT$2)&gt;1,1,'Aglis Total Tonnage'!L8/('Aglis Load Factor'!L8*'Aglis Load Factor'!$AT$2)),0)</f>
        <v>0.57670394744738385</v>
      </c>
      <c r="AH8" s="44">
        <f>IFERROR(IF('Aglis Total Tonnage'!M8/('Aglis Load Factor'!M8*'Aglis Load Factor'!$AT$2)&gt;1,1,'Aglis Total Tonnage'!M8/('Aglis Load Factor'!M8*'Aglis Load Factor'!$AT$2)),0)</f>
        <v>0.59248864745827978</v>
      </c>
      <c r="AI8" s="44">
        <f>IFERROR(IF('Aglis Total Tonnage'!N8/('Aglis Load Factor'!N8*'Aglis Load Factor'!$AT$2)&gt;1,1,'Aglis Total Tonnage'!N8/('Aglis Load Factor'!N8*'Aglis Load Factor'!$AT$2)),0)</f>
        <v>0.6082733474691755</v>
      </c>
      <c r="AJ8" s="44">
        <f>IFERROR(IF('Aglis Total Tonnage'!O8/('Aglis Load Factor'!O8*'Aglis Load Factor'!$AT$2)&gt;1,1,'Aglis Total Tonnage'!O8/('Aglis Load Factor'!O8*'Aglis Load Factor'!$AT$2)),0)</f>
        <v>0.65658638414430726</v>
      </c>
      <c r="AK8" s="44">
        <f>IFERROR(IF('Aglis Total Tonnage'!P8/('Aglis Load Factor'!P8*'Aglis Load Factor'!$AT$2)&gt;1,1,'Aglis Total Tonnage'!P8/('Aglis Load Factor'!P8*'Aglis Load Factor'!$AT$2)),0)</f>
        <v>0.67318641767884302</v>
      </c>
      <c r="AL8" s="44">
        <f>IFERROR(IF('Aglis Total Tonnage'!Q8/('Aglis Load Factor'!Q8*'Aglis Load Factor'!$AT$2)&gt;1,1,'Aglis Total Tonnage'!Q8/('Aglis Load Factor'!Q8*'Aglis Load Factor'!$AT$2)),0)</f>
        <v>0.68978645121338089</v>
      </c>
      <c r="AM8" s="44">
        <f>IFERROR(IF('Aglis Total Tonnage'!R8/('Aglis Load Factor'!R8*'Aglis Load Factor'!$AT$2)&gt;1,1,'Aglis Total Tonnage'!R8/('Aglis Load Factor'!R8*'Aglis Load Factor'!$AT$2)),0)</f>
        <v>0.70638648474791677</v>
      </c>
      <c r="AN8" s="44">
        <f>IFERROR(IF('Aglis Total Tonnage'!S8/('Aglis Load Factor'!S8*'Aglis Load Factor'!$AT$2)&gt;1,1,'Aglis Total Tonnage'!S8/('Aglis Load Factor'!S8*'Aglis Load Factor'!$AT$2)),0)</f>
        <v>0.76063500333827327</v>
      </c>
      <c r="AO8" s="44">
        <f>IFERROR(IF('Aglis Total Tonnage'!T8/('Aglis Load Factor'!T8*'Aglis Load Factor'!$AT$2)&gt;1,1,'Aglis Total Tonnage'!T8/('Aglis Load Factor'!T8*'Aglis Load Factor'!$AT$2)),0)</f>
        <v>0.77809240390723466</v>
      </c>
      <c r="AP8" s="44">
        <f>IFERROR(IF('Aglis Total Tonnage'!U8/('Aglis Load Factor'!U8*'Aglis Load Factor'!$AT$2)&gt;1,1,'Aglis Total Tonnage'!U8/('Aglis Load Factor'!U8*'Aglis Load Factor'!$AT$2)),0)</f>
        <v>0.79554980447619628</v>
      </c>
      <c r="AQ8" s="44">
        <f>IFERROR(IF('Aglis Total Tonnage'!V8/('Aglis Load Factor'!V8*'Aglis Load Factor'!$AT$2)&gt;1,1,'Aglis Total Tonnage'!V8/('Aglis Load Factor'!V8*'Aglis Load Factor'!$AT$2)),0)</f>
        <v>0.8</v>
      </c>
      <c r="AU8" s="47" t="s">
        <v>18</v>
      </c>
      <c r="AV8" s="45">
        <f t="shared" si="1"/>
        <v>12.041999999999998</v>
      </c>
      <c r="AW8" s="45">
        <f t="shared" si="2"/>
        <v>12.041999999999998</v>
      </c>
      <c r="AX8" s="45">
        <f t="shared" si="3"/>
        <v>12.041999999999998</v>
      </c>
      <c r="AY8" s="45">
        <f t="shared" si="4"/>
        <v>12.041999999999998</v>
      </c>
      <c r="AZ8" s="45">
        <f>G8*AB8*$AT$2</f>
        <v>12.772681538215602</v>
      </c>
      <c r="BA8" s="45">
        <f t="shared" si="6"/>
        <v>13.274254476872771</v>
      </c>
      <c r="BB8" s="45">
        <f t="shared" si="7"/>
        <v>13.583185975768071</v>
      </c>
      <c r="BC8" s="45">
        <f t="shared" si="8"/>
        <v>13.988438194544331</v>
      </c>
      <c r="BD8" s="45">
        <f t="shared" si="9"/>
        <v>15.144819680785233</v>
      </c>
      <c r="BE8" s="45">
        <f t="shared" si="10"/>
        <v>15.571006581079363</v>
      </c>
      <c r="BF8" s="45">
        <f t="shared" si="11"/>
        <v>15.997193481373554</v>
      </c>
      <c r="BG8" s="45">
        <f t="shared" si="12"/>
        <v>16.423380381667737</v>
      </c>
      <c r="BH8" s="45">
        <f t="shared" si="13"/>
        <v>17.727832371896294</v>
      </c>
      <c r="BI8" s="45">
        <f t="shared" si="14"/>
        <v>18.176033277328763</v>
      </c>
      <c r="BJ8" s="45">
        <f t="shared" si="15"/>
        <v>18.624234182761285</v>
      </c>
      <c r="BK8" s="45">
        <f t="shared" si="16"/>
        <v>19.072435088193753</v>
      </c>
      <c r="BL8" s="45">
        <f t="shared" si="17"/>
        <v>20.537145090133379</v>
      </c>
      <c r="BM8" s="45">
        <f t="shared" si="18"/>
        <v>21.008494905495336</v>
      </c>
      <c r="BN8" s="45">
        <f t="shared" si="19"/>
        <v>21.479844720857301</v>
      </c>
      <c r="BO8" s="45">
        <f t="shared" si="20"/>
        <v>21.6</v>
      </c>
    </row>
    <row r="9" spans="1:67">
      <c r="A9" s="107">
        <v>2</v>
      </c>
      <c r="B9" s="48" t="s">
        <v>20</v>
      </c>
      <c r="C9" s="18" t="e">
        <f>'Aglis Market Share'!#REF!*'Total Tonnage'!E9</f>
        <v>#REF!</v>
      </c>
      <c r="D9" s="18" t="e">
        <f>'Aglis Market Share'!#REF!*'Total Tonnage'!F9</f>
        <v>#REF!</v>
      </c>
      <c r="E9" s="18" t="e">
        <f>'Aglis Market Share'!#REF!*'Total Tonnage'!G9</f>
        <v>#REF!</v>
      </c>
      <c r="F9" s="18" t="e">
        <f>'Aglis Market Share'!#REF!*'Total Tonnage'!H9</f>
        <v>#REF!</v>
      </c>
      <c r="G9" s="18">
        <v>1</v>
      </c>
      <c r="H9" s="18">
        <v>1</v>
      </c>
      <c r="I9" s="18">
        <v>1</v>
      </c>
      <c r="J9" s="18">
        <v>1</v>
      </c>
      <c r="K9" s="18">
        <v>1</v>
      </c>
      <c r="L9" s="18">
        <v>1</v>
      </c>
      <c r="M9" s="18">
        <v>1</v>
      </c>
      <c r="N9" s="18">
        <v>1</v>
      </c>
      <c r="O9" s="18">
        <v>1</v>
      </c>
      <c r="P9" s="18">
        <v>1</v>
      </c>
      <c r="Q9" s="18">
        <v>1</v>
      </c>
      <c r="R9" s="18">
        <v>1</v>
      </c>
      <c r="S9" s="18">
        <v>1</v>
      </c>
      <c r="T9" s="18">
        <v>1</v>
      </c>
      <c r="U9" s="18">
        <v>1</v>
      </c>
      <c r="V9" s="18">
        <v>1</v>
      </c>
      <c r="W9" s="48" t="s">
        <v>20</v>
      </c>
      <c r="X9" s="44">
        <f>IFERROR(IF('Aglis Total Tonnage'!#REF!/('Aglis Load Factor'!C9*'Aglis Load Factor'!$AT$2)&gt;1,1,'Aglis Total Tonnage'!#REF!/('Aglis Load Factor'!C9*'Aglis Load Factor'!$AT$2)),0)</f>
        <v>0</v>
      </c>
      <c r="Y9" s="44">
        <f>IFERROR(IF('Aglis Total Tonnage'!#REF!/('Aglis Load Factor'!D9*'Aglis Load Factor'!$AT$2)&gt;1,1,'Aglis Total Tonnage'!#REF!/('Aglis Load Factor'!D9*'Aglis Load Factor'!$AT$2)),0)</f>
        <v>0</v>
      </c>
      <c r="Z9" s="44">
        <f>IFERROR(IF('Aglis Total Tonnage'!#REF!/('Aglis Load Factor'!E9*'Aglis Load Factor'!$AT$2)&gt;1,1,'Aglis Total Tonnage'!#REF!/('Aglis Load Factor'!E9*'Aglis Load Factor'!$AT$2)),0)</f>
        <v>0</v>
      </c>
      <c r="AA9" s="44">
        <f>IFERROR(IF('Aglis Total Tonnage'!#REF!/('Aglis Load Factor'!F9*'Aglis Load Factor'!$AT$2)&gt;1,1,'Aglis Total Tonnage'!#REF!/('Aglis Load Factor'!F9*'Aglis Load Factor'!$AT$2)),0)</f>
        <v>0</v>
      </c>
      <c r="AB9" s="44">
        <f>IFERROR(IF('Aglis Total Tonnage'!C9/('Aglis Load Factor'!G9*'Aglis Load Factor'!$AT$2)&gt;1,1,'Aglis Total Tonnage'!C9/('Aglis Load Factor'!G9*'Aglis Load Factor'!$AT$2)),0)</f>
        <v>0.18833333333333332</v>
      </c>
      <c r="AC9" s="44">
        <f>IFERROR(IF('Aglis Total Tonnage'!D9/('Aglis Load Factor'!H9*'Aglis Load Factor'!$AT$2)&gt;1,1,'Aglis Total Tonnage'!D9/('Aglis Load Factor'!H9*'Aglis Load Factor'!$AT$2)),0)</f>
        <v>0.19107272727272728</v>
      </c>
      <c r="AD9" s="44">
        <f>IFERROR(IF('Aglis Total Tonnage'!E9/('Aglis Load Factor'!I9*'Aglis Load Factor'!$AT$2)&gt;1,1,'Aglis Total Tonnage'!E9/('Aglis Load Factor'!I9*'Aglis Load Factor'!$AT$2)),0)</f>
        <v>0.19381212121212121</v>
      </c>
      <c r="AE9" s="44">
        <f>IFERROR(IF('Aglis Total Tonnage'!F9/('Aglis Load Factor'!J9*'Aglis Load Factor'!$AT$2)&gt;1,1,'Aglis Total Tonnage'!F9/('Aglis Load Factor'!J9*'Aglis Load Factor'!$AT$2)),0)</f>
        <v>0.19655151515151517</v>
      </c>
      <c r="AF9" s="44">
        <f>IFERROR(IF('Aglis Total Tonnage'!G9/('Aglis Load Factor'!K9*'Aglis Load Factor'!$AT$2)&gt;1,1,'Aglis Total Tonnage'!G9/('Aglis Load Factor'!K9*'Aglis Load Factor'!$AT$2)),0)</f>
        <v>0.21055384333853594</v>
      </c>
      <c r="AG9" s="44">
        <f>IFERROR(IF('Aglis Total Tonnage'!H9/('Aglis Load Factor'!L9*'Aglis Load Factor'!$AT$2)&gt;1,1,'Aglis Total Tonnage'!H9/('Aglis Load Factor'!L9*'Aglis Load Factor'!$AT$2)),0)</f>
        <v>0.21344805424353303</v>
      </c>
      <c r="AH9" s="44">
        <f>IFERROR(IF('Aglis Total Tonnage'!I9/('Aglis Load Factor'!M9*'Aglis Load Factor'!$AT$2)&gt;1,1,'Aglis Total Tonnage'!I9/('Aglis Load Factor'!M9*'Aglis Load Factor'!$AT$2)),0)</f>
        <v>0.21634226514853003</v>
      </c>
      <c r="AI9" s="44">
        <f>IFERROR(IF('Aglis Total Tonnage'!J9/('Aglis Load Factor'!N9*'Aglis Load Factor'!$AT$2)&gt;1,1,'Aglis Total Tonnage'!J9/('Aglis Load Factor'!N9*'Aglis Load Factor'!$AT$2)),0)</f>
        <v>0.21923647605352717</v>
      </c>
      <c r="AJ9" s="44">
        <f>IFERROR(IF('Aglis Total Tonnage'!K9/('Aglis Load Factor'!O9*'Aglis Load Factor'!$AT$2)&gt;1,1,'Aglis Total Tonnage'!K9/('Aglis Load Factor'!O9*'Aglis Load Factor'!$AT$2)),0)</f>
        <v>0.23465678392273012</v>
      </c>
      <c r="AK9" s="44">
        <f>IFERROR(IF('Aglis Total Tonnage'!L9/('Aglis Load Factor'!P9*'Aglis Load Factor'!$AT$2)&gt;1,1,'Aglis Total Tonnage'!L9/('Aglis Load Factor'!P9*'Aglis Load Factor'!$AT$2)),0)</f>
        <v>0.23771420130283083</v>
      </c>
      <c r="AL9" s="44">
        <f>IFERROR(IF('Aglis Total Tonnage'!M9/('Aglis Load Factor'!Q9*'Aglis Load Factor'!$AT$2)&gt;1,1,'Aglis Total Tonnage'!M9/('Aglis Load Factor'!Q9*'Aglis Load Factor'!$AT$2)),0)</f>
        <v>0.24077161868293154</v>
      </c>
      <c r="AM9" s="44">
        <f>IFERROR(IF('Aglis Total Tonnage'!N9/('Aglis Load Factor'!R9*'Aglis Load Factor'!$AT$2)&gt;1,1,'Aglis Total Tonnage'!N9/('Aglis Load Factor'!R9*'Aglis Load Factor'!$AT$2)),0)</f>
        <v>0.24382903606303227</v>
      </c>
      <c r="AN9" s="44">
        <f>IFERROR(IF('Aglis Total Tonnage'!O9/('Aglis Load Factor'!S9*'Aglis Load Factor'!$AT$2)&gt;1,1,'Aglis Total Tonnage'!O9/('Aglis Load Factor'!S9*'Aglis Load Factor'!$AT$2)),0)</f>
        <v>0.26077872614194236</v>
      </c>
      <c r="AO9" s="44">
        <f>IFERROR(IF('Aglis Total Tonnage'!P9/('Aglis Load Factor'!T9*'Aglis Load Factor'!$AT$2)&gt;1,1,'Aglis Total Tonnage'!P9/('Aglis Load Factor'!T9*'Aglis Load Factor'!$AT$2)),0)</f>
        <v>0.26400818405082088</v>
      </c>
      <c r="AP9" s="44">
        <f>IFERROR(IF('Aglis Total Tonnage'!Q9/('Aglis Load Factor'!U9*'Aglis Load Factor'!$AT$2)&gt;1,1,'Aglis Total Tonnage'!Q9/('Aglis Load Factor'!U9*'Aglis Load Factor'!$AT$2)),0)</f>
        <v>0.26723764195969957</v>
      </c>
      <c r="AQ9" s="44">
        <f>IFERROR(IF('Aglis Total Tonnage'!R9/('Aglis Load Factor'!V9*'Aglis Load Factor'!$AT$2)&gt;1,1,'Aglis Total Tonnage'!R9/('Aglis Load Factor'!V9*'Aglis Load Factor'!$AT$2)),0)</f>
        <v>0.27046709986857803</v>
      </c>
      <c r="AU9" s="48" t="s">
        <v>20</v>
      </c>
      <c r="AV9" s="45" t="e">
        <f t="shared" si="1"/>
        <v>#REF!</v>
      </c>
      <c r="AW9" s="45" t="e">
        <f t="shared" si="2"/>
        <v>#REF!</v>
      </c>
      <c r="AX9" s="45" t="e">
        <f t="shared" si="3"/>
        <v>#REF!</v>
      </c>
      <c r="AY9" s="45" t="e">
        <f t="shared" si="4"/>
        <v>#REF!</v>
      </c>
      <c r="AZ9" s="45">
        <f t="shared" si="5"/>
        <v>5.085</v>
      </c>
      <c r="BA9" s="45">
        <f t="shared" si="6"/>
        <v>5.1589636363636364</v>
      </c>
      <c r="BB9" s="45">
        <f t="shared" si="7"/>
        <v>5.2329272727272729</v>
      </c>
      <c r="BC9" s="45">
        <f t="shared" si="8"/>
        <v>5.3068909090909093</v>
      </c>
      <c r="BD9" s="45">
        <f t="shared" si="9"/>
        <v>5.6849537701404707</v>
      </c>
      <c r="BE9" s="45">
        <f t="shared" si="10"/>
        <v>5.7630974645753916</v>
      </c>
      <c r="BF9" s="45">
        <f t="shared" si="11"/>
        <v>5.8412411590103108</v>
      </c>
      <c r="BG9" s="45">
        <f t="shared" si="12"/>
        <v>5.9193848534452336</v>
      </c>
      <c r="BH9" s="45">
        <f t="shared" si="13"/>
        <v>6.3357331659137133</v>
      </c>
      <c r="BI9" s="45">
        <f t="shared" si="14"/>
        <v>6.4182834351764324</v>
      </c>
      <c r="BJ9" s="45">
        <f t="shared" si="15"/>
        <v>6.5008337044391515</v>
      </c>
      <c r="BK9" s="45">
        <f t="shared" si="16"/>
        <v>6.5833839737018716</v>
      </c>
      <c r="BL9" s="45">
        <f t="shared" si="17"/>
        <v>7.0410256058324441</v>
      </c>
      <c r="BM9" s="45">
        <f t="shared" si="18"/>
        <v>7.1282209693721637</v>
      </c>
      <c r="BN9" s="45">
        <f t="shared" si="19"/>
        <v>7.2154163329118886</v>
      </c>
      <c r="BO9" s="45">
        <f t="shared" si="20"/>
        <v>7.3026116964516072</v>
      </c>
    </row>
    <row r="10" spans="1:67">
      <c r="A10" s="108"/>
      <c r="B10" s="48" t="s">
        <v>19</v>
      </c>
      <c r="C10" s="18" t="e">
        <f>'Aglis Market Share'!#REF!*'Total Tonnage'!E10</f>
        <v>#REF!</v>
      </c>
      <c r="D10" s="18" t="e">
        <f>'Aglis Market Share'!#REF!*'Total Tonnage'!F10</f>
        <v>#REF!</v>
      </c>
      <c r="E10" s="18" t="e">
        <f>'Aglis Market Share'!#REF!*'Total Tonnage'!G10</f>
        <v>#REF!</v>
      </c>
      <c r="F10" s="18" t="e">
        <f>'Aglis Market Share'!#REF!*'Total Tonnage'!H10</f>
        <v>#REF!</v>
      </c>
      <c r="G10" s="18">
        <v>1</v>
      </c>
      <c r="H10" s="18">
        <v>1</v>
      </c>
      <c r="I10" s="18">
        <v>1</v>
      </c>
      <c r="J10" s="18">
        <v>1</v>
      </c>
      <c r="K10" s="18">
        <v>1</v>
      </c>
      <c r="L10" s="18">
        <v>1</v>
      </c>
      <c r="M10" s="18">
        <v>1</v>
      </c>
      <c r="N10" s="18">
        <v>1</v>
      </c>
      <c r="O10" s="18">
        <v>1</v>
      </c>
      <c r="P10" s="18">
        <v>1</v>
      </c>
      <c r="Q10" s="18">
        <v>1</v>
      </c>
      <c r="R10" s="18">
        <v>1</v>
      </c>
      <c r="S10" s="18">
        <v>1</v>
      </c>
      <c r="T10" s="18">
        <v>1</v>
      </c>
      <c r="U10" s="18">
        <v>1</v>
      </c>
      <c r="V10" s="18">
        <v>1</v>
      </c>
      <c r="W10" s="48" t="s">
        <v>19</v>
      </c>
      <c r="X10" s="44">
        <f>IFERROR(IF('Aglis Total Tonnage'!#REF!/('Aglis Load Factor'!C10*'Aglis Load Factor'!$AT$2)&gt;1,1,'Aglis Total Tonnage'!#REF!/('Aglis Load Factor'!C10*'Aglis Load Factor'!$AT$2)),0)</f>
        <v>0</v>
      </c>
      <c r="Y10" s="44">
        <f>IFERROR(IF('Aglis Total Tonnage'!#REF!/('Aglis Load Factor'!D10*'Aglis Load Factor'!$AT$2)&gt;1,1,'Aglis Total Tonnage'!#REF!/('Aglis Load Factor'!D10*'Aglis Load Factor'!$AT$2)),0)</f>
        <v>0</v>
      </c>
      <c r="Z10" s="44">
        <f>IFERROR(IF('Aglis Total Tonnage'!#REF!/('Aglis Load Factor'!E10*'Aglis Load Factor'!$AT$2)&gt;1,1,'Aglis Total Tonnage'!#REF!/('Aglis Load Factor'!E10*'Aglis Load Factor'!$AT$2)),0)</f>
        <v>0</v>
      </c>
      <c r="AA10" s="44">
        <f>IFERROR(IF('Aglis Total Tonnage'!#REF!/('Aglis Load Factor'!F10*'Aglis Load Factor'!$AT$2)&gt;1,1,'Aglis Total Tonnage'!#REF!/('Aglis Load Factor'!F10*'Aglis Load Factor'!$AT$2)),0)</f>
        <v>0</v>
      </c>
      <c r="AB10" s="44">
        <f>IFERROR(IF('Aglis Total Tonnage'!C10/('Aglis Load Factor'!G10*'Aglis Load Factor'!$AT$2)&gt;1,1,'Aglis Total Tonnage'!C10/('Aglis Load Factor'!G10*'Aglis Load Factor'!$AT$2)),0)</f>
        <v>0.30648148148148141</v>
      </c>
      <c r="AC10" s="44">
        <f>IFERROR(IF('Aglis Total Tonnage'!D10/('Aglis Load Factor'!H10*'Aglis Load Factor'!$AT$2)&gt;1,1,'Aglis Total Tonnage'!D10/('Aglis Load Factor'!H10*'Aglis Load Factor'!$AT$2)),0)</f>
        <v>0.31138518518518515</v>
      </c>
      <c r="AD10" s="44">
        <f>IFERROR(IF('Aglis Total Tonnage'!E10/('Aglis Load Factor'!I10*'Aglis Load Factor'!$AT$2)&gt;1,1,'Aglis Total Tonnage'!E10/('Aglis Load Factor'!I10*'Aglis Load Factor'!$AT$2)),0)</f>
        <v>0.31628888888888895</v>
      </c>
      <c r="AE10" s="44">
        <f>IFERROR(IF('Aglis Total Tonnage'!F10/('Aglis Load Factor'!J10*'Aglis Load Factor'!$AT$2)&gt;1,1,'Aglis Total Tonnage'!F10/('Aglis Load Factor'!J10*'Aglis Load Factor'!$AT$2)),0)</f>
        <v>0.32119259259259247</v>
      </c>
      <c r="AF10" s="44">
        <f>IFERROR(IF('Aglis Total Tonnage'!G10/('Aglis Load Factor'!K10*'Aglis Load Factor'!$AT$2)&gt;1,1,'Aglis Total Tonnage'!G10/('Aglis Load Factor'!K10*'Aglis Load Factor'!$AT$2)),0)</f>
        <v>0.34874984575163409</v>
      </c>
      <c r="AG10" s="44">
        <f>IFERROR(IF('Aglis Total Tonnage'!H10/('Aglis Load Factor'!L10*'Aglis Load Factor'!$AT$2)&gt;1,1,'Aglis Total Tonnage'!H10/('Aglis Load Factor'!L10*'Aglis Load Factor'!$AT$2)),0)</f>
        <v>0.35399420433436535</v>
      </c>
      <c r="AH10" s="44">
        <f>IFERROR(IF('Aglis Total Tonnage'!I10/('Aglis Load Factor'!M10*'Aglis Load Factor'!$AT$2)&gt;1,1,'Aglis Total Tonnage'!I10/('Aglis Load Factor'!M10*'Aglis Load Factor'!$AT$2)),0)</f>
        <v>0.35923856291709672</v>
      </c>
      <c r="AI10" s="44">
        <f>IFERROR(IF('Aglis Total Tonnage'!J10/('Aglis Load Factor'!N10*'Aglis Load Factor'!$AT$2)&gt;1,1,'Aglis Total Tonnage'!J10/('Aglis Load Factor'!N10*'Aglis Load Factor'!$AT$2)),0)</f>
        <v>0.36448292149982797</v>
      </c>
      <c r="AJ10" s="44">
        <f>IFERROR(IF('Aglis Total Tonnage'!K10/('Aglis Load Factor'!O10*'Aglis Load Factor'!$AT$2)&gt;1,1,'Aglis Total Tonnage'!K10/('Aglis Load Factor'!O10*'Aglis Load Factor'!$AT$2)),0)</f>
        <v>0.39517030857530677</v>
      </c>
      <c r="AK10" s="44">
        <f>IFERROR(IF('Aglis Total Tonnage'!L10/('Aglis Load Factor'!P10*'Aglis Load Factor'!$AT$2)&gt;1,1,'Aglis Total Tonnage'!L10/('Aglis Load Factor'!P10*'Aglis Load Factor'!$AT$2)),0)</f>
        <v>0.40077556117921176</v>
      </c>
      <c r="AL10" s="44">
        <f>IFERROR(IF('Aglis Total Tonnage'!M10/('Aglis Load Factor'!Q10*'Aglis Load Factor'!$AT$2)&gt;1,1,'Aglis Total Tonnage'!M10/('Aglis Load Factor'!Q10*'Aglis Load Factor'!$AT$2)),0)</f>
        <v>0.40638081378311691</v>
      </c>
      <c r="AM10" s="44">
        <f>IFERROR(IF('Aglis Total Tonnage'!N10/('Aglis Load Factor'!R10*'Aglis Load Factor'!$AT$2)&gt;1,1,'Aglis Total Tonnage'!N10/('Aglis Load Factor'!R10*'Aglis Load Factor'!$AT$2)),0)</f>
        <v>0.41198606638702201</v>
      </c>
      <c r="AN10" s="44">
        <f>IFERROR(IF('Aglis Total Tonnage'!O10/('Aglis Load Factor'!S10*'Aglis Load Factor'!$AT$2)&gt;1,1,'Aglis Total Tonnage'!O10/('Aglis Load Factor'!S10*'Aglis Load Factor'!$AT$2)),0)</f>
        <v>0.4460695074845934</v>
      </c>
      <c r="AO10" s="44">
        <f>IFERROR(IF('Aglis Total Tonnage'!P10/('Aglis Load Factor'!T10*'Aglis Load Factor'!$AT$2)&gt;1,1,'Aglis Total Tonnage'!P10/('Aglis Load Factor'!T10*'Aglis Load Factor'!$AT$2)),0)</f>
        <v>0.45205701765217188</v>
      </c>
      <c r="AP10" s="44">
        <f>IFERROR(IF('Aglis Total Tonnage'!Q10/('Aglis Load Factor'!U10*'Aglis Load Factor'!$AT$2)&gt;1,1,'Aglis Total Tonnage'!Q10/('Aglis Load Factor'!U10*'Aglis Load Factor'!$AT$2)),0)</f>
        <v>0.4580445278197503</v>
      </c>
      <c r="AQ10" s="44">
        <f>IFERROR(IF('Aglis Total Tonnage'!R10/('Aglis Load Factor'!V10*'Aglis Load Factor'!$AT$2)&gt;1,1,'Aglis Total Tonnage'!R10/('Aglis Load Factor'!V10*'Aglis Load Factor'!$AT$2)),0)</f>
        <v>0.46403203798732867</v>
      </c>
      <c r="AU10" s="48" t="s">
        <v>19</v>
      </c>
      <c r="AV10" s="45" t="e">
        <f t="shared" si="1"/>
        <v>#REF!</v>
      </c>
      <c r="AW10" s="45" t="e">
        <f t="shared" si="2"/>
        <v>#REF!</v>
      </c>
      <c r="AX10" s="45" t="e">
        <f t="shared" si="3"/>
        <v>#REF!</v>
      </c>
      <c r="AY10" s="45" t="e">
        <f t="shared" si="4"/>
        <v>#REF!</v>
      </c>
      <c r="AZ10" s="45">
        <f t="shared" si="5"/>
        <v>8.2749999999999986</v>
      </c>
      <c r="BA10" s="45">
        <f t="shared" si="6"/>
        <v>8.4073999999999991</v>
      </c>
      <c r="BB10" s="45">
        <f t="shared" si="7"/>
        <v>8.5398000000000014</v>
      </c>
      <c r="BC10" s="45">
        <f t="shared" si="8"/>
        <v>8.6721999999999966</v>
      </c>
      <c r="BD10" s="45">
        <f t="shared" si="9"/>
        <v>9.4162458352941201</v>
      </c>
      <c r="BE10" s="45">
        <f t="shared" si="10"/>
        <v>9.5578435170278642</v>
      </c>
      <c r="BF10" s="45">
        <f t="shared" si="11"/>
        <v>9.6994411987616118</v>
      </c>
      <c r="BG10" s="45">
        <f t="shared" si="12"/>
        <v>9.8410388804953559</v>
      </c>
      <c r="BH10" s="45">
        <f t="shared" si="13"/>
        <v>10.669598331533283</v>
      </c>
      <c r="BI10" s="45">
        <f t="shared" si="14"/>
        <v>10.820940151838718</v>
      </c>
      <c r="BJ10" s="45">
        <f t="shared" si="15"/>
        <v>10.972281972144156</v>
      </c>
      <c r="BK10" s="45">
        <f t="shared" si="16"/>
        <v>11.123623792449594</v>
      </c>
      <c r="BL10" s="45">
        <f t="shared" si="17"/>
        <v>12.043876702084022</v>
      </c>
      <c r="BM10" s="45">
        <f t="shared" si="18"/>
        <v>12.20553947660864</v>
      </c>
      <c r="BN10" s="45">
        <f t="shared" si="19"/>
        <v>12.367202251133259</v>
      </c>
      <c r="BO10" s="45">
        <f t="shared" si="20"/>
        <v>12.528865025657874</v>
      </c>
    </row>
    <row r="11" spans="1:67">
      <c r="A11" s="108"/>
      <c r="B11" s="48" t="s">
        <v>21</v>
      </c>
      <c r="C11" s="18" t="e">
        <f>'Aglis Market Share'!#REF!*'Total Tonnage'!E11</f>
        <v>#REF!</v>
      </c>
      <c r="D11" s="18" t="e">
        <f>'Aglis Market Share'!#REF!*'Total Tonnage'!F11</f>
        <v>#REF!</v>
      </c>
      <c r="E11" s="18" t="e">
        <f>'Aglis Market Share'!#REF!*'Total Tonnage'!G11</f>
        <v>#REF!</v>
      </c>
      <c r="F11" s="18" t="e">
        <f>'Aglis Market Share'!#REF!*'Total Tonnage'!H11</f>
        <v>#REF!</v>
      </c>
      <c r="G11" s="18">
        <v>1</v>
      </c>
      <c r="H11" s="18">
        <v>1</v>
      </c>
      <c r="I11" s="18">
        <v>1</v>
      </c>
      <c r="J11" s="18">
        <v>1</v>
      </c>
      <c r="K11" s="18">
        <v>1</v>
      </c>
      <c r="L11" s="18">
        <v>1</v>
      </c>
      <c r="M11" s="18">
        <v>1</v>
      </c>
      <c r="N11" s="18">
        <v>1</v>
      </c>
      <c r="O11" s="18">
        <v>1</v>
      </c>
      <c r="P11" s="18">
        <v>1</v>
      </c>
      <c r="Q11" s="18">
        <v>1</v>
      </c>
      <c r="R11" s="18">
        <v>1</v>
      </c>
      <c r="S11" s="18">
        <v>1</v>
      </c>
      <c r="T11" s="18">
        <v>1</v>
      </c>
      <c r="U11" s="18">
        <v>1</v>
      </c>
      <c r="V11" s="18">
        <v>1</v>
      </c>
      <c r="W11" s="48" t="s">
        <v>21</v>
      </c>
      <c r="X11" s="44">
        <f>IFERROR(IF('Aglis Total Tonnage'!#REF!/('Aglis Load Factor'!C11*'Aglis Load Factor'!$AT$2)&gt;1,1,'Aglis Total Tonnage'!#REF!/('Aglis Load Factor'!C11*'Aglis Load Factor'!$AT$2)),0)</f>
        <v>0</v>
      </c>
      <c r="Y11" s="44">
        <f>IFERROR(IF('Aglis Total Tonnage'!#REF!/('Aglis Load Factor'!D11*'Aglis Load Factor'!$AT$2)&gt;1,1,'Aglis Total Tonnage'!#REF!/('Aglis Load Factor'!D11*'Aglis Load Factor'!$AT$2)),0)</f>
        <v>0</v>
      </c>
      <c r="Z11" s="44">
        <f>IFERROR(IF('Aglis Total Tonnage'!#REF!/('Aglis Load Factor'!E11*'Aglis Load Factor'!$AT$2)&gt;1,1,'Aglis Total Tonnage'!#REF!/('Aglis Load Factor'!E11*'Aglis Load Factor'!$AT$2)),0)</f>
        <v>0</v>
      </c>
      <c r="AA11" s="44">
        <f>IFERROR(IF('Aglis Total Tonnage'!#REF!/('Aglis Load Factor'!F11*'Aglis Load Factor'!$AT$2)&gt;1,1,'Aglis Total Tonnage'!#REF!/('Aglis Load Factor'!F11*'Aglis Load Factor'!$AT$2)),0)</f>
        <v>0</v>
      </c>
      <c r="AB11" s="44">
        <f>IFERROR(IF('Aglis Total Tonnage'!C11/('Aglis Load Factor'!G11*'Aglis Load Factor'!$AT$2)&gt;1,1,'Aglis Total Tonnage'!C11/('Aglis Load Factor'!G11*'Aglis Load Factor'!$AT$2)),0)</f>
        <v>0.33037037037037037</v>
      </c>
      <c r="AC11" s="44">
        <f>IFERROR(IF('Aglis Total Tonnage'!D11/('Aglis Load Factor'!H11*'Aglis Load Factor'!$AT$2)&gt;1,1,'Aglis Total Tonnage'!D11/('Aglis Load Factor'!H11*'Aglis Load Factor'!$AT$2)),0)</f>
        <v>0.33565629629629634</v>
      </c>
      <c r="AD11" s="44">
        <f>IFERROR(IF('Aglis Total Tonnage'!E11/('Aglis Load Factor'!I11*'Aglis Load Factor'!$AT$2)&gt;1,1,'Aglis Total Tonnage'!E11/('Aglis Load Factor'!I11*'Aglis Load Factor'!$AT$2)),0)</f>
        <v>0.34094222222222226</v>
      </c>
      <c r="AE11" s="44">
        <f>IFERROR(IF('Aglis Total Tonnage'!F11/('Aglis Load Factor'!J11*'Aglis Load Factor'!$AT$2)&gt;1,1,'Aglis Total Tonnage'!F11/('Aglis Load Factor'!J11*'Aglis Load Factor'!$AT$2)),0)</f>
        <v>0.34622814814814817</v>
      </c>
      <c r="AF11" s="44">
        <f>IFERROR(IF('Aglis Total Tonnage'!G11/('Aglis Load Factor'!K11*'Aglis Load Factor'!$AT$2)&gt;1,1,'Aglis Total Tonnage'!G11/('Aglis Load Factor'!K11*'Aglis Load Factor'!$AT$2)),0)</f>
        <v>0.36233750207961984</v>
      </c>
      <c r="AG11" s="44">
        <f>IFERROR(IF('Aglis Total Tonnage'!H11/('Aglis Load Factor'!L11*'Aglis Load Factor'!$AT$2)&gt;1,1,'Aglis Total Tonnage'!H11/('Aglis Load Factor'!L11*'Aglis Load Factor'!$AT$2)),0)</f>
        <v>0.36778618632141857</v>
      </c>
      <c r="AH11" s="44">
        <f>IFERROR(IF('Aglis Total Tonnage'!I11/('Aglis Load Factor'!M11*'Aglis Load Factor'!$AT$2)&gt;1,1,'Aglis Total Tonnage'!I11/('Aglis Load Factor'!M11*'Aglis Load Factor'!$AT$2)),0)</f>
        <v>0.37323487056321736</v>
      </c>
      <c r="AI11" s="44">
        <f>IFERROR(IF('Aglis Total Tonnage'!J11/('Aglis Load Factor'!N11*'Aglis Load Factor'!$AT$2)&gt;1,1,'Aglis Total Tonnage'!J11/('Aglis Load Factor'!N11*'Aglis Load Factor'!$AT$2)),0)</f>
        <v>0.3786835548050162</v>
      </c>
      <c r="AJ11" s="44">
        <f>IFERROR(IF('Aglis Total Tonnage'!K11/('Aglis Load Factor'!O11*'Aglis Load Factor'!$AT$2)&gt;1,1,'Aglis Total Tonnage'!K11/('Aglis Load Factor'!O11*'Aglis Load Factor'!$AT$2)),0)</f>
        <v>0.39596000908670287</v>
      </c>
      <c r="AK11" s="44">
        <f>IFERROR(IF('Aglis Total Tonnage'!L11/('Aglis Load Factor'!P11*'Aglis Load Factor'!$AT$2)&gt;1,1,'Aglis Total Tonnage'!L11/('Aglis Load Factor'!P11*'Aglis Load Factor'!$AT$2)),0)</f>
        <v>0.40157646311630157</v>
      </c>
      <c r="AL11" s="44">
        <f>IFERROR(IF('Aglis Total Tonnage'!M11/('Aglis Load Factor'!Q11*'Aglis Load Factor'!$AT$2)&gt;1,1,'Aglis Total Tonnage'!M11/('Aglis Load Factor'!Q11*'Aglis Load Factor'!$AT$2)),0)</f>
        <v>0.40719291714590011</v>
      </c>
      <c r="AM11" s="44">
        <f>IFERROR(IF('Aglis Total Tonnage'!N11/('Aglis Load Factor'!R11*'Aglis Load Factor'!$AT$2)&gt;1,1,'Aglis Total Tonnage'!N11/('Aglis Load Factor'!R11*'Aglis Load Factor'!$AT$2)),0)</f>
        <v>0.41280937117549876</v>
      </c>
      <c r="AN11" s="44">
        <f>IFERROR(IF('Aglis Total Tonnage'!O11/('Aglis Load Factor'!S11*'Aglis Load Factor'!$AT$2)&gt;1,1,'Aglis Total Tonnage'!O11/('Aglis Load Factor'!S11*'Aglis Load Factor'!$AT$2)),0)</f>
        <v>0.43130952497358532</v>
      </c>
      <c r="AO11" s="44">
        <f>IFERROR(IF('Aglis Total Tonnage'!P11/('Aglis Load Factor'!T11*'Aglis Load Factor'!$AT$2)&gt;1,1,'Aglis Total Tonnage'!P11/('Aglis Load Factor'!T11*'Aglis Load Factor'!$AT$2)),0)</f>
        <v>0.43709891457054639</v>
      </c>
      <c r="AP11" s="44">
        <f>IFERROR(IF('Aglis Total Tonnage'!Q11/('Aglis Load Factor'!U11*'Aglis Load Factor'!$AT$2)&gt;1,1,'Aglis Total Tonnage'!Q11/('Aglis Load Factor'!U11*'Aglis Load Factor'!$AT$2)),0)</f>
        <v>0.44288830416750707</v>
      </c>
      <c r="AQ11" s="44">
        <f>IFERROR(IF('Aglis Total Tonnage'!R11/('Aglis Load Factor'!V11*'Aglis Load Factor'!$AT$2)&gt;1,1,'Aglis Total Tonnage'!R11/('Aglis Load Factor'!V11*'Aglis Load Factor'!$AT$2)),0)</f>
        <v>0.44867769376446798</v>
      </c>
      <c r="AU11" s="48" t="s">
        <v>21</v>
      </c>
      <c r="AV11" s="45" t="e">
        <f t="shared" si="1"/>
        <v>#REF!</v>
      </c>
      <c r="AW11" s="45" t="e">
        <f t="shared" si="2"/>
        <v>#REF!</v>
      </c>
      <c r="AX11" s="45" t="e">
        <f t="shared" si="3"/>
        <v>#REF!</v>
      </c>
      <c r="AY11" s="45" t="e">
        <f t="shared" si="4"/>
        <v>#REF!</v>
      </c>
      <c r="AZ11" s="45">
        <f t="shared" si="5"/>
        <v>8.92</v>
      </c>
      <c r="BA11" s="45">
        <f t="shared" si="6"/>
        <v>9.0627200000000006</v>
      </c>
      <c r="BB11" s="45">
        <f t="shared" si="7"/>
        <v>9.2054400000000012</v>
      </c>
      <c r="BC11" s="45">
        <f t="shared" si="8"/>
        <v>9.34816</v>
      </c>
      <c r="BD11" s="45">
        <f t="shared" si="9"/>
        <v>9.7831125561497352</v>
      </c>
      <c r="BE11" s="45">
        <f t="shared" si="10"/>
        <v>9.9302270306783011</v>
      </c>
      <c r="BF11" s="45">
        <f t="shared" si="11"/>
        <v>10.077341505206869</v>
      </c>
      <c r="BG11" s="45">
        <f t="shared" si="12"/>
        <v>10.224455979735437</v>
      </c>
      <c r="BH11" s="45">
        <f t="shared" si="13"/>
        <v>10.690920245340978</v>
      </c>
      <c r="BI11" s="45">
        <f t="shared" si="14"/>
        <v>10.842564504140142</v>
      </c>
      <c r="BJ11" s="45">
        <f t="shared" si="15"/>
        <v>10.994208762939303</v>
      </c>
      <c r="BK11" s="45">
        <f t="shared" si="16"/>
        <v>11.145853021738466</v>
      </c>
      <c r="BL11" s="45">
        <f t="shared" si="17"/>
        <v>11.645357174286804</v>
      </c>
      <c r="BM11" s="45">
        <f t="shared" si="18"/>
        <v>11.801670693404752</v>
      </c>
      <c r="BN11" s="45">
        <f t="shared" si="19"/>
        <v>11.957984212522691</v>
      </c>
      <c r="BO11" s="45">
        <f t="shared" si="20"/>
        <v>12.114297731640635</v>
      </c>
    </row>
    <row r="12" spans="1:67">
      <c r="A12" s="109"/>
      <c r="B12" s="49" t="s">
        <v>22</v>
      </c>
      <c r="C12" s="18">
        <f>'Aglis Market Share'!C13*'Total Tonnage'!E12</f>
        <v>0</v>
      </c>
      <c r="D12" s="18">
        <f>'Aglis Market Share'!D13*'Total Tonnage'!F12</f>
        <v>0</v>
      </c>
      <c r="E12" s="18">
        <f>'Aglis Market Share'!E13*'Total Tonnage'!G12</f>
        <v>0</v>
      </c>
      <c r="F12" s="18">
        <f>'Aglis Market Share'!F13*'Total Tonnage'!H12</f>
        <v>0</v>
      </c>
      <c r="G12" s="18">
        <v>1</v>
      </c>
      <c r="H12" s="18">
        <v>1</v>
      </c>
      <c r="I12" s="18">
        <v>1</v>
      </c>
      <c r="J12" s="18">
        <v>1</v>
      </c>
      <c r="K12" s="18">
        <v>1</v>
      </c>
      <c r="L12" s="18">
        <v>1</v>
      </c>
      <c r="M12" s="18">
        <v>1</v>
      </c>
      <c r="N12" s="18">
        <v>1</v>
      </c>
      <c r="O12" s="18">
        <v>1</v>
      </c>
      <c r="P12" s="18">
        <v>1</v>
      </c>
      <c r="Q12" s="18">
        <v>1</v>
      </c>
      <c r="R12" s="18">
        <v>1</v>
      </c>
      <c r="S12" s="18">
        <v>1</v>
      </c>
      <c r="T12" s="18">
        <v>1</v>
      </c>
      <c r="U12" s="18">
        <v>1</v>
      </c>
      <c r="V12" s="18">
        <v>1</v>
      </c>
      <c r="W12" s="49" t="s">
        <v>22</v>
      </c>
      <c r="X12" s="44">
        <f>IFERROR(IF('Aglis Total Tonnage'!#REF!/('Aglis Load Factor'!C12*'Aglis Load Factor'!$AT$2)&gt;1,1,'Aglis Total Tonnage'!#REF!/('Aglis Load Factor'!C12*'Aglis Load Factor'!$AT$2)),0)</f>
        <v>0</v>
      </c>
      <c r="Y12" s="44">
        <f>IFERROR(IF('Aglis Total Tonnage'!#REF!/('Aglis Load Factor'!D12*'Aglis Load Factor'!$AT$2)&gt;1,1,'Aglis Total Tonnage'!#REF!/('Aglis Load Factor'!D12*'Aglis Load Factor'!$AT$2)),0)</f>
        <v>0</v>
      </c>
      <c r="Z12" s="44">
        <f>IFERROR(IF('Aglis Total Tonnage'!#REF!/('Aglis Load Factor'!E12*'Aglis Load Factor'!$AT$2)&gt;1,1,'Aglis Total Tonnage'!#REF!/('Aglis Load Factor'!E12*'Aglis Load Factor'!$AT$2)),0)</f>
        <v>0</v>
      </c>
      <c r="AA12" s="44">
        <f>IFERROR(IF('Aglis Total Tonnage'!#REF!/('Aglis Load Factor'!F12*'Aglis Load Factor'!$AT$2)&gt;1,1,'Aglis Total Tonnage'!#REF!/('Aglis Load Factor'!F12*'Aglis Load Factor'!$AT$2)),0)</f>
        <v>0</v>
      </c>
      <c r="AB12" s="44">
        <f>IFERROR(IF('Aglis Total Tonnage'!C12/('Aglis Load Factor'!G12*'Aglis Load Factor'!$AT$2)&gt;1,1,'Aglis Total Tonnage'!C12/('Aglis Load Factor'!G12*'Aglis Load Factor'!$AT$2)),0)</f>
        <v>0.12000000000000001</v>
      </c>
      <c r="AC12" s="44">
        <f>IFERROR(IF('Aglis Total Tonnage'!D12/('Aglis Load Factor'!H12*'Aglis Load Factor'!$AT$2)&gt;1,1,'Aglis Total Tonnage'!D12/('Aglis Load Factor'!H12*'Aglis Load Factor'!$AT$2)),0)</f>
        <v>0.12213333333333333</v>
      </c>
      <c r="AD12" s="44">
        <f>IFERROR(IF('Aglis Total Tonnage'!E12/('Aglis Load Factor'!I12*'Aglis Load Factor'!$AT$2)&gt;1,1,'Aglis Total Tonnage'!E12/('Aglis Load Factor'!I12*'Aglis Load Factor'!$AT$2)),0)</f>
        <v>0.12426666666666668</v>
      </c>
      <c r="AE12" s="44">
        <f>IFERROR(IF('Aglis Total Tonnage'!F12/('Aglis Load Factor'!J12*'Aglis Load Factor'!$AT$2)&gt;1,1,'Aglis Total Tonnage'!F12/('Aglis Load Factor'!J12*'Aglis Load Factor'!$AT$2)),0)</f>
        <v>0.12640000000000004</v>
      </c>
      <c r="AF12" s="44">
        <f>IFERROR(IF('Aglis Total Tonnage'!G12/('Aglis Load Factor'!K12*'Aglis Load Factor'!$AT$2)&gt;1,1,'Aglis Total Tonnage'!G12/('Aglis Load Factor'!K12*'Aglis Load Factor'!$AT$2)),0)</f>
        <v>0.13571329957851652</v>
      </c>
      <c r="AG12" s="44">
        <f>IFERROR(IF('Aglis Total Tonnage'!H12/('Aglis Load Factor'!L12*'Aglis Load Factor'!$AT$2)&gt;1,1,'Aglis Total Tonnage'!H12/('Aglis Load Factor'!L12*'Aglis Load Factor'!$AT$2)),0)</f>
        <v>0.13796580247608531</v>
      </c>
      <c r="AH12" s="44">
        <f>IFERROR(IF('Aglis Total Tonnage'!I12/('Aglis Load Factor'!M12*'Aglis Load Factor'!$AT$2)&gt;1,1,'Aglis Total Tonnage'!I12/('Aglis Load Factor'!M12*'Aglis Load Factor'!$AT$2)),0)</f>
        <v>0.14021830537365407</v>
      </c>
      <c r="AI12" s="44">
        <f>IFERROR(IF('Aglis Total Tonnage'!J12/('Aglis Load Factor'!N12*'Aglis Load Factor'!$AT$2)&gt;1,1,'Aglis Total Tonnage'!J12/('Aglis Load Factor'!N12*'Aglis Load Factor'!$AT$2)),0)</f>
        <v>0.14247080827122274</v>
      </c>
      <c r="AJ12" s="44">
        <f>IFERROR(IF('Aglis Total Tonnage'!K12/('Aglis Load Factor'!O12*'Aglis Load Factor'!$AT$2)&gt;1,1,'Aglis Total Tonnage'!K12/('Aglis Load Factor'!O12*'Aglis Load Factor'!$AT$2)),0)</f>
        <v>0.15279235630998805</v>
      </c>
      <c r="AK12" s="44">
        <f>IFERROR(IF('Aglis Total Tonnage'!L12/('Aglis Load Factor'!P12*'Aglis Load Factor'!$AT$2)&gt;1,1,'Aglis Total Tonnage'!L12/('Aglis Load Factor'!P12*'Aglis Load Factor'!$AT$2)),0)</f>
        <v>0.15517044745878167</v>
      </c>
      <c r="AL12" s="44">
        <f>IFERROR(IF('Aglis Total Tonnage'!M12/('Aglis Load Factor'!Q12*'Aglis Load Factor'!$AT$2)&gt;1,1,'Aglis Total Tonnage'!M12/('Aglis Load Factor'!Q12*'Aglis Load Factor'!$AT$2)),0)</f>
        <v>0.1575485386075752</v>
      </c>
      <c r="AM12" s="44">
        <f>IFERROR(IF('Aglis Total Tonnage'!N12/('Aglis Load Factor'!R12*'Aglis Load Factor'!$AT$2)&gt;1,1,'Aglis Total Tonnage'!N12/('Aglis Load Factor'!R12*'Aglis Load Factor'!$AT$2)),0)</f>
        <v>0.15992662975636882</v>
      </c>
      <c r="AN12" s="44">
        <f>IFERROR(IF('Aglis Total Tonnage'!O12/('Aglis Load Factor'!S12*'Aglis Load Factor'!$AT$2)&gt;1,1,'Aglis Total Tonnage'!O12/('Aglis Load Factor'!S12*'Aglis Load Factor'!$AT$2)),0)</f>
        <v>0.17133732928352841</v>
      </c>
      <c r="AO12" s="44">
        <f>IFERROR(IF('Aglis Total Tonnage'!P12/('Aglis Load Factor'!T12*'Aglis Load Factor'!$AT$2)&gt;1,1,'Aglis Total Tonnage'!P12/('Aglis Load Factor'!T12*'Aglis Load Factor'!$AT$2)),0)</f>
        <v>0.17384776634262775</v>
      </c>
      <c r="AP12" s="44">
        <f>IFERROR(IF('Aglis Total Tonnage'!Q12/('Aglis Load Factor'!U12*'Aglis Load Factor'!$AT$2)&gt;1,1,'Aglis Total Tonnage'!Q12/('Aglis Load Factor'!U12*'Aglis Load Factor'!$AT$2)),0)</f>
        <v>0.17635820340172706</v>
      </c>
      <c r="AQ12" s="44">
        <f>IFERROR(IF('Aglis Total Tonnage'!R12/('Aglis Load Factor'!V12*'Aglis Load Factor'!$AT$2)&gt;1,1,'Aglis Total Tonnage'!R12/('Aglis Load Factor'!V12*'Aglis Load Factor'!$AT$2)),0)</f>
        <v>0.17886864046082637</v>
      </c>
      <c r="AU12" s="49" t="s">
        <v>22</v>
      </c>
      <c r="AV12" s="45">
        <f t="shared" si="1"/>
        <v>0</v>
      </c>
      <c r="AW12" s="45">
        <f t="shared" si="2"/>
        <v>0</v>
      </c>
      <c r="AX12" s="45">
        <f t="shared" si="3"/>
        <v>0</v>
      </c>
      <c r="AY12" s="45">
        <f t="shared" si="4"/>
        <v>0</v>
      </c>
      <c r="AZ12" s="45">
        <f t="shared" si="5"/>
        <v>3.24</v>
      </c>
      <c r="BA12" s="45">
        <f t="shared" si="6"/>
        <v>3.2976000000000001</v>
      </c>
      <c r="BB12" s="45">
        <f t="shared" si="7"/>
        <v>3.3552000000000004</v>
      </c>
      <c r="BC12" s="45">
        <f t="shared" si="8"/>
        <v>3.4128000000000012</v>
      </c>
      <c r="BD12" s="45">
        <f t="shared" si="9"/>
        <v>3.664259088619946</v>
      </c>
      <c r="BE12" s="45">
        <f t="shared" si="10"/>
        <v>3.7250766668543034</v>
      </c>
      <c r="BF12" s="45">
        <f t="shared" si="11"/>
        <v>3.7858942450886599</v>
      </c>
      <c r="BG12" s="45">
        <f t="shared" si="12"/>
        <v>3.8467118233230142</v>
      </c>
      <c r="BH12" s="45">
        <f t="shared" si="13"/>
        <v>4.1253936203696773</v>
      </c>
      <c r="BI12" s="45">
        <f t="shared" si="14"/>
        <v>4.1896020813871049</v>
      </c>
      <c r="BJ12" s="45">
        <f t="shared" si="15"/>
        <v>4.2538105424045307</v>
      </c>
      <c r="BK12" s="45">
        <f t="shared" si="16"/>
        <v>4.3180190034219583</v>
      </c>
      <c r="BL12" s="45">
        <f t="shared" si="17"/>
        <v>4.6261078906552671</v>
      </c>
      <c r="BM12" s="45">
        <f t="shared" si="18"/>
        <v>4.6938896912509493</v>
      </c>
      <c r="BN12" s="45">
        <f t="shared" si="19"/>
        <v>4.7616714918466307</v>
      </c>
      <c r="BO12" s="45">
        <f t="shared" si="20"/>
        <v>4.8294532924423121</v>
      </c>
    </row>
    <row r="13" spans="1:67">
      <c r="A13" s="107">
        <v>3</v>
      </c>
      <c r="B13" s="50" t="s">
        <v>24</v>
      </c>
      <c r="C13" s="18">
        <f>'Aglis Market Share'!C14*'Total Tonnage'!E13</f>
        <v>0</v>
      </c>
      <c r="D13" s="18">
        <f>'Aglis Market Share'!D14*'Total Tonnage'!F13</f>
        <v>0</v>
      </c>
      <c r="E13" s="18">
        <f>'Aglis Market Share'!E14*'Total Tonnage'!G13</f>
        <v>0</v>
      </c>
      <c r="F13" s="18">
        <f>'Aglis Market Share'!F14*'Total Tonnage'!H13</f>
        <v>0</v>
      </c>
      <c r="G13" s="18">
        <f>'Aglis Market Share'!G14*'Total Tonnage'!I13</f>
        <v>0</v>
      </c>
      <c r="H13" s="18">
        <f>'Aglis Market Share'!H14*'Total Tonnage'!J13</f>
        <v>0</v>
      </c>
      <c r="I13" s="18">
        <f>'Aglis Market Share'!I14*'Total Tonnage'!K13</f>
        <v>0</v>
      </c>
      <c r="J13" s="18">
        <f>'Aglis Market Share'!J14*'Total Tonnage'!L13</f>
        <v>0</v>
      </c>
      <c r="K13" s="18">
        <v>1</v>
      </c>
      <c r="L13" s="18">
        <v>1</v>
      </c>
      <c r="M13" s="18">
        <v>1</v>
      </c>
      <c r="N13" s="18">
        <v>1</v>
      </c>
      <c r="O13" s="18">
        <v>1</v>
      </c>
      <c r="P13" s="18">
        <v>1</v>
      </c>
      <c r="Q13" s="18">
        <v>1</v>
      </c>
      <c r="R13" s="18">
        <v>1</v>
      </c>
      <c r="S13" s="18">
        <v>1</v>
      </c>
      <c r="T13" s="18">
        <v>1</v>
      </c>
      <c r="U13" s="18">
        <v>1</v>
      </c>
      <c r="V13" s="18">
        <v>1</v>
      </c>
      <c r="W13" s="50" t="s">
        <v>24</v>
      </c>
      <c r="X13" s="44">
        <f>IFERROR(IF('Aglis Total Tonnage'!C13/('Aglis Load Factor'!C13*'Aglis Load Factor'!$AT$2)&gt;1,1,'Aglis Total Tonnage'!C13/('Aglis Load Factor'!C13*'Aglis Load Factor'!$AT$2)),0)</f>
        <v>0</v>
      </c>
      <c r="Y13" s="44">
        <f>IFERROR(IF('Aglis Total Tonnage'!D13/('Aglis Load Factor'!D13*'Aglis Load Factor'!$AT$2)&gt;1,1,'Aglis Total Tonnage'!D13/('Aglis Load Factor'!D13*'Aglis Load Factor'!$AT$2)),0)</f>
        <v>0</v>
      </c>
      <c r="Z13" s="44">
        <f>IFERROR(IF('Aglis Total Tonnage'!E13/('Aglis Load Factor'!E13*'Aglis Load Factor'!$AT$2)&gt;1,1,'Aglis Total Tonnage'!E13/('Aglis Load Factor'!E13*'Aglis Load Factor'!$AT$2)),0)</f>
        <v>0</v>
      </c>
      <c r="AA13" s="44">
        <f>IFERROR(IF('Aglis Total Tonnage'!F13/('Aglis Load Factor'!F13*'Aglis Load Factor'!$AT$2)&gt;1,1,'Aglis Total Tonnage'!F13/('Aglis Load Factor'!F13*'Aglis Load Factor'!$AT$2)),0)</f>
        <v>0</v>
      </c>
      <c r="AB13" s="44">
        <f>IFERROR(IF('Aglis Total Tonnage'!G13/('Aglis Load Factor'!G13*'Aglis Load Factor'!$AT$2)&gt;1,1,'Aglis Total Tonnage'!G13/('Aglis Load Factor'!G13*'Aglis Load Factor'!$AT$2)),0)</f>
        <v>0</v>
      </c>
      <c r="AC13" s="44">
        <f>IFERROR(IF('Aglis Total Tonnage'!H13/('Aglis Load Factor'!H13*'Aglis Load Factor'!$AT$2)&gt;1,1,'Aglis Total Tonnage'!H13/('Aglis Load Factor'!H13*'Aglis Load Factor'!$AT$2)),0)</f>
        <v>0</v>
      </c>
      <c r="AD13" s="44">
        <f>IFERROR(IF('Aglis Total Tonnage'!I13/('Aglis Load Factor'!I13*'Aglis Load Factor'!$AT$2)&gt;1,1,'Aglis Total Tonnage'!I13/('Aglis Load Factor'!I13*'Aglis Load Factor'!$AT$2)),0)</f>
        <v>0</v>
      </c>
      <c r="AE13" s="44">
        <f>IFERROR(IF('Aglis Total Tonnage'!J13/('Aglis Load Factor'!J13*'Aglis Load Factor'!$AT$2)&gt;1,1,'Aglis Total Tonnage'!J13/('Aglis Load Factor'!J13*'Aglis Load Factor'!$AT$2)),0)</f>
        <v>0</v>
      </c>
      <c r="AF13" s="44">
        <f>IFERROR(IF('Aglis Total Tonnage'!K13/('Aglis Load Factor'!K13*'Aglis Load Factor'!$AT$2)&gt;1,1,'Aglis Total Tonnage'!K13/('Aglis Load Factor'!K13*'Aglis Load Factor'!$AT$2)),0)</f>
        <v>0.16694605997826831</v>
      </c>
      <c r="AG13" s="44">
        <f>IFERROR(IF('Aglis Total Tonnage'!L13/('Aglis Load Factor'!L13*'Aglis Load Factor'!$AT$2)&gt;1,1,'Aglis Total Tonnage'!L13/('Aglis Load Factor'!L13*'Aglis Load Factor'!$AT$2)),0)</f>
        <v>0.17061887329779019</v>
      </c>
      <c r="AH13" s="44">
        <f>IFERROR(IF('Aglis Total Tonnage'!M13/('Aglis Load Factor'!M13*'Aglis Load Factor'!$AT$2)&gt;1,1,'Aglis Total Tonnage'!M13/('Aglis Load Factor'!M13*'Aglis Load Factor'!$AT$2)),0)</f>
        <v>0.17429168661731212</v>
      </c>
      <c r="AI13" s="44">
        <f>IFERROR(IF('Aglis Total Tonnage'!N13/('Aglis Load Factor'!N13*'Aglis Load Factor'!$AT$2)&gt;1,1,'Aglis Total Tonnage'!N13/('Aglis Load Factor'!N13*'Aglis Load Factor'!$AT$2)),0)</f>
        <v>0.177964499936834</v>
      </c>
      <c r="AJ13" s="44">
        <f>IFERROR(IF('Aglis Total Tonnage'!O13/('Aglis Load Factor'!O13*'Aglis Load Factor'!$AT$2)&gt;1,1,'Aglis Total Tonnage'!O13/('Aglis Load Factor'!O13*'Aglis Load Factor'!$AT$2)),0)</f>
        <v>0.1858503261881497</v>
      </c>
      <c r="AK13" s="44">
        <f>IFERROR(IF('Aglis Total Tonnage'!P13/('Aglis Load Factor'!P13*'Aglis Load Factor'!$AT$2)&gt;1,1,'Aglis Total Tonnage'!P13/('Aglis Load Factor'!P13*'Aglis Load Factor'!$AT$2)),0)</f>
        <v>0.18960832910739536</v>
      </c>
      <c r="AL13" s="44">
        <f>IFERROR(IF('Aglis Total Tonnage'!Q13/('Aglis Load Factor'!Q13*'Aglis Load Factor'!$AT$2)&gt;1,1,'Aglis Total Tonnage'!Q13/('Aglis Load Factor'!Q13*'Aglis Load Factor'!$AT$2)),0)</f>
        <v>0.19336633202664105</v>
      </c>
      <c r="AM13" s="44">
        <f>IFERROR(IF('Aglis Total Tonnage'!R13/('Aglis Load Factor'!R13*'Aglis Load Factor'!$AT$2)&gt;1,1,'Aglis Total Tonnage'!R13/('Aglis Load Factor'!R13*'Aglis Load Factor'!$AT$2)),0)</f>
        <v>0.19712433494588671</v>
      </c>
      <c r="AN13" s="44">
        <f>IFERROR(IF('Aglis Total Tonnage'!S13/('Aglis Load Factor'!S13*'Aglis Load Factor'!$AT$2)&gt;1,1,'Aglis Total Tonnage'!S13/('Aglis Load Factor'!S13*'Aglis Load Factor'!$AT$2)),0)</f>
        <v>0.20552718462243502</v>
      </c>
      <c r="AO13" s="44">
        <f>IFERROR(IF('Aglis Total Tonnage'!T13/('Aglis Load Factor'!T13*'Aglis Load Factor'!$AT$2)&gt;1,1,'Aglis Total Tonnage'!T13/('Aglis Load Factor'!T13*'Aglis Load Factor'!$AT$2)),0)</f>
        <v>0.20937208093339896</v>
      </c>
      <c r="AP13" s="44">
        <f>IFERROR(IF('Aglis Total Tonnage'!U13/('Aglis Load Factor'!U13*'Aglis Load Factor'!$AT$2)&gt;1,1,'Aglis Total Tonnage'!U13/('Aglis Load Factor'!U13*'Aglis Load Factor'!$AT$2)),0)</f>
        <v>0.21321697724436287</v>
      </c>
      <c r="AQ13" s="44">
        <f>IFERROR(IF('Aglis Total Tonnage'!V13/('Aglis Load Factor'!V13*'Aglis Load Factor'!$AT$2)&gt;1,1,'Aglis Total Tonnage'!V13/('Aglis Load Factor'!V13*'Aglis Load Factor'!$AT$2)),0)</f>
        <v>0.21706187355532677</v>
      </c>
      <c r="AU13" s="50" t="s">
        <v>24</v>
      </c>
      <c r="AV13" s="45">
        <f t="shared" si="1"/>
        <v>0</v>
      </c>
      <c r="AW13" s="45">
        <f t="shared" si="2"/>
        <v>0</v>
      </c>
      <c r="AX13" s="45">
        <f t="shared" si="3"/>
        <v>0</v>
      </c>
      <c r="AY13" s="45">
        <f t="shared" si="4"/>
        <v>0</v>
      </c>
      <c r="AZ13" s="45">
        <f t="shared" si="5"/>
        <v>0</v>
      </c>
      <c r="BA13" s="45">
        <f t="shared" si="6"/>
        <v>0</v>
      </c>
      <c r="BB13" s="45">
        <f t="shared" si="7"/>
        <v>0</v>
      </c>
      <c r="BC13" s="45">
        <f t="shared" si="8"/>
        <v>0</v>
      </c>
      <c r="BD13" s="45">
        <f t="shared" si="9"/>
        <v>4.5075436194132443</v>
      </c>
      <c r="BE13" s="45">
        <f t="shared" si="10"/>
        <v>4.6067095790403352</v>
      </c>
      <c r="BF13" s="45">
        <f t="shared" si="11"/>
        <v>4.7058755386674269</v>
      </c>
      <c r="BG13" s="45">
        <f t="shared" si="12"/>
        <v>4.8050414982945178</v>
      </c>
      <c r="BH13" s="45">
        <f t="shared" si="13"/>
        <v>5.017958807080042</v>
      </c>
      <c r="BI13" s="45">
        <f t="shared" si="14"/>
        <v>5.1194248858996749</v>
      </c>
      <c r="BJ13" s="45">
        <f t="shared" si="15"/>
        <v>5.2208909647193087</v>
      </c>
      <c r="BK13" s="45">
        <f t="shared" si="16"/>
        <v>5.3223570435389416</v>
      </c>
      <c r="BL13" s="45">
        <f t="shared" si="17"/>
        <v>5.5492339848057455</v>
      </c>
      <c r="BM13" s="45">
        <f t="shared" si="18"/>
        <v>5.6530461852017719</v>
      </c>
      <c r="BN13" s="45">
        <f t="shared" si="19"/>
        <v>5.7568583855977975</v>
      </c>
      <c r="BO13" s="45">
        <f t="shared" si="20"/>
        <v>5.8606705859938231</v>
      </c>
    </row>
    <row r="14" spans="1:67">
      <c r="A14" s="108"/>
      <c r="B14" s="50" t="s">
        <v>25</v>
      </c>
      <c r="C14" s="18">
        <f>'Aglis Market Share'!C16*'Total Tonnage'!E14</f>
        <v>0</v>
      </c>
      <c r="D14" s="18">
        <f>'Aglis Market Share'!D16*'Total Tonnage'!F14</f>
        <v>0</v>
      </c>
      <c r="E14" s="18">
        <f>'Aglis Market Share'!E16*'Total Tonnage'!G14</f>
        <v>0</v>
      </c>
      <c r="F14" s="18">
        <f>'Aglis Market Share'!F16*'Total Tonnage'!H14</f>
        <v>0</v>
      </c>
      <c r="G14" s="18">
        <f>'Aglis Market Share'!G16*'Total Tonnage'!I14</f>
        <v>0</v>
      </c>
      <c r="H14" s="18">
        <f>'Aglis Market Share'!H16*'Total Tonnage'!J14</f>
        <v>0</v>
      </c>
      <c r="I14" s="18">
        <f>'Aglis Market Share'!I16*'Total Tonnage'!K14</f>
        <v>0</v>
      </c>
      <c r="J14" s="18">
        <f>'Aglis Market Share'!J16*'Total Tonnage'!L14</f>
        <v>0</v>
      </c>
      <c r="K14" s="18">
        <v>1</v>
      </c>
      <c r="L14" s="18">
        <v>1</v>
      </c>
      <c r="M14" s="18">
        <v>1</v>
      </c>
      <c r="N14" s="18">
        <v>1</v>
      </c>
      <c r="O14" s="18">
        <v>1</v>
      </c>
      <c r="P14" s="18">
        <v>1</v>
      </c>
      <c r="Q14" s="18">
        <v>1</v>
      </c>
      <c r="R14" s="18">
        <v>1</v>
      </c>
      <c r="S14" s="18">
        <v>1</v>
      </c>
      <c r="T14" s="18">
        <v>1</v>
      </c>
      <c r="U14" s="18">
        <v>1</v>
      </c>
      <c r="V14" s="18">
        <v>1</v>
      </c>
      <c r="W14" s="50" t="s">
        <v>25</v>
      </c>
      <c r="X14" s="44">
        <f>IFERROR(IF('Aglis Total Tonnage'!C14/('Aglis Load Factor'!C14*'Aglis Load Factor'!$AT$2)&gt;1,1,'Aglis Total Tonnage'!C14/('Aglis Load Factor'!C14*'Aglis Load Factor'!$AT$2)),0)</f>
        <v>0</v>
      </c>
      <c r="Y14" s="44">
        <f>IFERROR(IF('Aglis Total Tonnage'!D14/('Aglis Load Factor'!D14*'Aglis Load Factor'!$AT$2)&gt;1,1,'Aglis Total Tonnage'!D14/('Aglis Load Factor'!D14*'Aglis Load Factor'!$AT$2)),0)</f>
        <v>0</v>
      </c>
      <c r="Z14" s="44">
        <f>IFERROR(IF('Aglis Total Tonnage'!E14/('Aglis Load Factor'!E14*'Aglis Load Factor'!$AT$2)&gt;1,1,'Aglis Total Tonnage'!E14/('Aglis Load Factor'!E14*'Aglis Load Factor'!$AT$2)),0)</f>
        <v>0</v>
      </c>
      <c r="AA14" s="44">
        <f>IFERROR(IF('Aglis Total Tonnage'!F14/('Aglis Load Factor'!F14*'Aglis Load Factor'!$AT$2)&gt;1,1,'Aglis Total Tonnage'!F14/('Aglis Load Factor'!F14*'Aglis Load Factor'!$AT$2)),0)</f>
        <v>0</v>
      </c>
      <c r="AB14" s="44">
        <f>IFERROR(IF('Aglis Total Tonnage'!G14/('Aglis Load Factor'!G14*'Aglis Load Factor'!$AT$2)&gt;1,1,'Aglis Total Tonnage'!G14/('Aglis Load Factor'!G14*'Aglis Load Factor'!$AT$2)),0)</f>
        <v>0</v>
      </c>
      <c r="AC14" s="44">
        <f>IFERROR(IF('Aglis Total Tonnage'!H14/('Aglis Load Factor'!H14*'Aglis Load Factor'!$AT$2)&gt;1,1,'Aglis Total Tonnage'!H14/('Aglis Load Factor'!H14*'Aglis Load Factor'!$AT$2)),0)</f>
        <v>0</v>
      </c>
      <c r="AD14" s="44">
        <f>IFERROR(IF('Aglis Total Tonnage'!I14/('Aglis Load Factor'!I14*'Aglis Load Factor'!$AT$2)&gt;1,1,'Aglis Total Tonnage'!I14/('Aglis Load Factor'!I14*'Aglis Load Factor'!$AT$2)),0)</f>
        <v>0</v>
      </c>
      <c r="AE14" s="44">
        <f>IFERROR(IF('Aglis Total Tonnage'!J14/('Aglis Load Factor'!J14*'Aglis Load Factor'!$AT$2)&gt;1,1,'Aglis Total Tonnage'!J14/('Aglis Load Factor'!J14*'Aglis Load Factor'!$AT$2)),0)</f>
        <v>0</v>
      </c>
      <c r="AF14" s="44">
        <f>IFERROR(IF('Aglis Total Tonnage'!K14/('Aglis Load Factor'!K14*'Aglis Load Factor'!$AT$2)&gt;1,1,'Aglis Total Tonnage'!K14/('Aglis Load Factor'!K14*'Aglis Load Factor'!$AT$2)),0)</f>
        <v>0.60415113481481475</v>
      </c>
      <c r="AG14" s="44">
        <f>IFERROR(IF('Aglis Total Tonnage'!L14/('Aglis Load Factor'!L14*'Aglis Load Factor'!$AT$2)&gt;1,1,'Aglis Total Tonnage'!L14/('Aglis Load Factor'!L14*'Aglis Load Factor'!$AT$2)),0)</f>
        <v>0.61225947899259259</v>
      </c>
      <c r="AH14" s="44">
        <f>IFERROR(IF('Aglis Total Tonnage'!M14/('Aglis Load Factor'!M14*'Aglis Load Factor'!$AT$2)&gt;1,1,'Aglis Total Tonnage'!M14/('Aglis Load Factor'!M14*'Aglis Load Factor'!$AT$2)),0)</f>
        <v>0.62036782317037031</v>
      </c>
      <c r="AI14" s="44">
        <f>IFERROR(IF('Aglis Total Tonnage'!N14/('Aglis Load Factor'!N14*'Aglis Load Factor'!$AT$2)&gt;1,1,'Aglis Total Tonnage'!N14/('Aglis Load Factor'!N14*'Aglis Load Factor'!$AT$2)),0)</f>
        <v>0.62847616734814815</v>
      </c>
      <c r="AJ14" s="44">
        <f>IFERROR(IF('Aglis Total Tonnage'!O14/('Aglis Load Factor'!O14*'Aglis Load Factor'!$AT$2)&gt;1,1,'Aglis Total Tonnage'!O14/('Aglis Load Factor'!O14*'Aglis Load Factor'!$AT$2)),0)</f>
        <v>0.63658451152592577</v>
      </c>
      <c r="AK14" s="44">
        <f>IFERROR(IF('Aglis Total Tonnage'!P14/('Aglis Load Factor'!P14*'Aglis Load Factor'!$AT$2)&gt;1,1,'Aglis Total Tonnage'!P14/('Aglis Load Factor'!P14*'Aglis Load Factor'!$AT$2)),0)</f>
        <v>0.6446928557037036</v>
      </c>
      <c r="AL14" s="44">
        <f>IFERROR(IF('Aglis Total Tonnage'!Q14/('Aglis Load Factor'!Q14*'Aglis Load Factor'!$AT$2)&gt;1,1,'Aglis Total Tonnage'!Q14/('Aglis Load Factor'!Q14*'Aglis Load Factor'!$AT$2)),0)</f>
        <v>0.65280119988148133</v>
      </c>
      <c r="AM14" s="44">
        <f>IFERROR(IF('Aglis Total Tonnage'!R14/('Aglis Load Factor'!R14*'Aglis Load Factor'!$AT$2)&gt;1,1,'Aglis Total Tonnage'!R14/('Aglis Load Factor'!R14*'Aglis Load Factor'!$AT$2)),0)</f>
        <v>0.66090954405925906</v>
      </c>
      <c r="AN14" s="44">
        <f>IFERROR(IF('Aglis Total Tonnage'!S14/('Aglis Load Factor'!S14*'Aglis Load Factor'!$AT$2)&gt;1,1,'Aglis Total Tonnage'!S14/('Aglis Load Factor'!S14*'Aglis Load Factor'!$AT$2)),0)</f>
        <v>0.6688589010962962</v>
      </c>
      <c r="AO14" s="44">
        <f>IFERROR(IF('Aglis Total Tonnage'!T14/('Aglis Load Factor'!T14*'Aglis Load Factor'!$AT$2)&gt;1,1,'Aglis Total Tonnage'!T14/('Aglis Load Factor'!T14*'Aglis Load Factor'!$AT$2)),0)</f>
        <v>0.67680825813333323</v>
      </c>
      <c r="AP14" s="44">
        <f>IFERROR(IF('Aglis Total Tonnage'!U14/('Aglis Load Factor'!U14*'Aglis Load Factor'!$AT$2)&gt;1,1,'Aglis Total Tonnage'!U14/('Aglis Load Factor'!U14*'Aglis Load Factor'!$AT$2)),0)</f>
        <v>0.68475761517037015</v>
      </c>
      <c r="AQ14" s="44">
        <f>IFERROR(IF('Aglis Total Tonnage'!V14/('Aglis Load Factor'!V14*'Aglis Load Factor'!$AT$2)&gt;1,1,'Aglis Total Tonnage'!V14/('Aglis Load Factor'!V14*'Aglis Load Factor'!$AT$2)),0)</f>
        <v>0.69270697220740729</v>
      </c>
      <c r="AU14" s="50" t="s">
        <v>25</v>
      </c>
      <c r="AV14" s="45">
        <f t="shared" si="1"/>
        <v>0</v>
      </c>
      <c r="AW14" s="45">
        <f t="shared" si="2"/>
        <v>0</v>
      </c>
      <c r="AX14" s="45">
        <f t="shared" si="3"/>
        <v>0</v>
      </c>
      <c r="AY14" s="45">
        <f t="shared" si="4"/>
        <v>0</v>
      </c>
      <c r="AZ14" s="45">
        <f t="shared" si="5"/>
        <v>0</v>
      </c>
      <c r="BA14" s="45">
        <f t="shared" si="6"/>
        <v>0</v>
      </c>
      <c r="BB14" s="45">
        <f t="shared" si="7"/>
        <v>0</v>
      </c>
      <c r="BC14" s="45">
        <f t="shared" si="8"/>
        <v>0</v>
      </c>
      <c r="BD14" s="45">
        <f t="shared" si="9"/>
        <v>16.312080639999998</v>
      </c>
      <c r="BE14" s="45">
        <f t="shared" si="10"/>
        <v>16.531005932799999</v>
      </c>
      <c r="BF14" s="45">
        <f t="shared" si="11"/>
        <v>16.749931225599997</v>
      </c>
      <c r="BG14" s="45">
        <f t="shared" si="12"/>
        <v>16.968856518399999</v>
      </c>
      <c r="BH14" s="45">
        <f t="shared" si="13"/>
        <v>17.187781811199997</v>
      </c>
      <c r="BI14" s="45">
        <f t="shared" si="14"/>
        <v>17.406707103999999</v>
      </c>
      <c r="BJ14" s="45">
        <f t="shared" si="15"/>
        <v>17.625632396799997</v>
      </c>
      <c r="BK14" s="45">
        <f t="shared" si="16"/>
        <v>17.844557689599995</v>
      </c>
      <c r="BL14" s="45">
        <f t="shared" si="17"/>
        <v>18.059190329599996</v>
      </c>
      <c r="BM14" s="45">
        <f t="shared" si="18"/>
        <v>18.273822969599998</v>
      </c>
      <c r="BN14" s="45">
        <f t="shared" si="19"/>
        <v>18.488455609599995</v>
      </c>
      <c r="BO14" s="45">
        <f t="shared" si="20"/>
        <v>18.703088249599997</v>
      </c>
    </row>
    <row r="15" spans="1:67">
      <c r="A15" s="108"/>
      <c r="B15" s="50" t="s">
        <v>26</v>
      </c>
      <c r="C15" s="18">
        <f>'Aglis Market Share'!C17*'Total Tonnage'!E15</f>
        <v>0</v>
      </c>
      <c r="D15" s="18">
        <f>'Aglis Market Share'!D17*'Total Tonnage'!F15</f>
        <v>0</v>
      </c>
      <c r="E15" s="18">
        <f>'Aglis Market Share'!E17*'Total Tonnage'!G15</f>
        <v>0</v>
      </c>
      <c r="F15" s="18">
        <f>'Aglis Market Share'!F17*'Total Tonnage'!H15</f>
        <v>0</v>
      </c>
      <c r="G15" s="18">
        <f>'Aglis Market Share'!G17*'Total Tonnage'!I15</f>
        <v>0</v>
      </c>
      <c r="H15" s="18">
        <f>'Aglis Market Share'!H17*'Total Tonnage'!J15</f>
        <v>0</v>
      </c>
      <c r="I15" s="18">
        <f>'Aglis Market Share'!I17*'Total Tonnage'!K15</f>
        <v>0</v>
      </c>
      <c r="J15" s="18">
        <f>'Aglis Market Share'!J17*'Total Tonnage'!L15</f>
        <v>0</v>
      </c>
      <c r="K15" s="18">
        <v>1</v>
      </c>
      <c r="L15" s="18">
        <v>1</v>
      </c>
      <c r="M15" s="18">
        <v>1</v>
      </c>
      <c r="N15" s="18">
        <v>1</v>
      </c>
      <c r="O15" s="18">
        <v>1</v>
      </c>
      <c r="P15" s="18">
        <v>1</v>
      </c>
      <c r="Q15" s="18">
        <v>1</v>
      </c>
      <c r="R15" s="18">
        <v>1</v>
      </c>
      <c r="S15" s="18">
        <v>1</v>
      </c>
      <c r="T15" s="18">
        <v>1</v>
      </c>
      <c r="U15" s="18">
        <v>1</v>
      </c>
      <c r="V15" s="18">
        <v>1</v>
      </c>
      <c r="W15" s="50" t="s">
        <v>26</v>
      </c>
      <c r="X15" s="44">
        <f>IFERROR(IF('Aglis Total Tonnage'!C15/('Aglis Load Factor'!C15*'Aglis Load Factor'!$AT$2)&gt;1,1,'Aglis Total Tonnage'!C15/('Aglis Load Factor'!C15*'Aglis Load Factor'!$AT$2)),0)</f>
        <v>0</v>
      </c>
      <c r="Y15" s="44">
        <f>IFERROR(IF('Aglis Total Tonnage'!D15/('Aglis Load Factor'!D15*'Aglis Load Factor'!$AT$2)&gt;1,1,'Aglis Total Tonnage'!D15/('Aglis Load Factor'!D15*'Aglis Load Factor'!$AT$2)),0)</f>
        <v>0</v>
      </c>
      <c r="Z15" s="44">
        <f>IFERROR(IF('Aglis Total Tonnage'!E15/('Aglis Load Factor'!E15*'Aglis Load Factor'!$AT$2)&gt;1,1,'Aglis Total Tonnage'!E15/('Aglis Load Factor'!E15*'Aglis Load Factor'!$AT$2)),0)</f>
        <v>0</v>
      </c>
      <c r="AA15" s="44">
        <f>IFERROR(IF('Aglis Total Tonnage'!F15/('Aglis Load Factor'!F15*'Aglis Load Factor'!$AT$2)&gt;1,1,'Aglis Total Tonnage'!F15/('Aglis Load Factor'!F15*'Aglis Load Factor'!$AT$2)),0)</f>
        <v>0</v>
      </c>
      <c r="AB15" s="44">
        <f>IFERROR(IF('Aglis Total Tonnage'!G15/('Aglis Load Factor'!G15*'Aglis Load Factor'!$AT$2)&gt;1,1,'Aglis Total Tonnage'!G15/('Aglis Load Factor'!G15*'Aglis Load Factor'!$AT$2)),0)</f>
        <v>0</v>
      </c>
      <c r="AC15" s="44">
        <f>IFERROR(IF('Aglis Total Tonnage'!H15/('Aglis Load Factor'!H15*'Aglis Load Factor'!$AT$2)&gt;1,1,'Aglis Total Tonnage'!H15/('Aglis Load Factor'!H15*'Aglis Load Factor'!$AT$2)),0)</f>
        <v>0</v>
      </c>
      <c r="AD15" s="44">
        <f>IFERROR(IF('Aglis Total Tonnage'!I15/('Aglis Load Factor'!I15*'Aglis Load Factor'!$AT$2)&gt;1,1,'Aglis Total Tonnage'!I15/('Aglis Load Factor'!I15*'Aglis Load Factor'!$AT$2)),0)</f>
        <v>0</v>
      </c>
      <c r="AE15" s="44">
        <f>IFERROR(IF('Aglis Total Tonnage'!J15/('Aglis Load Factor'!J15*'Aglis Load Factor'!$AT$2)&gt;1,1,'Aglis Total Tonnage'!J15/('Aglis Load Factor'!J15*'Aglis Load Factor'!$AT$2)),0)</f>
        <v>0</v>
      </c>
      <c r="AF15" s="44">
        <f>IFERROR(IF('Aglis Total Tonnage'!K15/('Aglis Load Factor'!K15*'Aglis Load Factor'!$AT$2)&gt;1,1,'Aglis Total Tonnage'!K15/('Aglis Load Factor'!K15*'Aglis Load Factor'!$AT$2)),0)</f>
        <v>0.61365313353145234</v>
      </c>
      <c r="AG15" s="44">
        <f>IFERROR(IF('Aglis Total Tonnage'!L15/('Aglis Load Factor'!L15*'Aglis Load Factor'!$AT$2)&gt;1,1,'Aglis Total Tonnage'!L15/('Aglis Load Factor'!L15*'Aglis Load Factor'!$AT$2)),0)</f>
        <v>0.62188900453411133</v>
      </c>
      <c r="AH15" s="44">
        <f>IFERROR(IF('Aglis Total Tonnage'!M15/('Aglis Load Factor'!M15*'Aglis Load Factor'!$AT$2)&gt;1,1,'Aglis Total Tonnage'!M15/('Aglis Load Factor'!M15*'Aglis Load Factor'!$AT$2)),0)</f>
        <v>0.63012487553677032</v>
      </c>
      <c r="AI15" s="44">
        <f>IFERROR(IF('Aglis Total Tonnage'!N15/('Aglis Load Factor'!N15*'Aglis Load Factor'!$AT$2)&gt;1,1,'Aglis Total Tonnage'!N15/('Aglis Load Factor'!N15*'Aglis Load Factor'!$AT$2)),0)</f>
        <v>0.6383607465394292</v>
      </c>
      <c r="AJ15" s="44">
        <f>IFERROR(IF('Aglis Total Tonnage'!O15/('Aglis Load Factor'!O15*'Aglis Load Factor'!$AT$2)&gt;1,1,'Aglis Total Tonnage'!O15/('Aglis Load Factor'!O15*'Aglis Load Factor'!$AT$2)),0)</f>
        <v>0.66391812026330022</v>
      </c>
      <c r="AK15" s="44">
        <f>IFERROR(IF('Aglis Total Tonnage'!P15/('Aglis Load Factor'!P15*'Aglis Load Factor'!$AT$2)&gt;1,1,'Aglis Total Tonnage'!P15/('Aglis Load Factor'!P15*'Aglis Load Factor'!$AT$2)),0)</f>
        <v>0.67237461979712365</v>
      </c>
      <c r="AL15" s="44">
        <f>IFERROR(IF('Aglis Total Tonnage'!Q15/('Aglis Load Factor'!Q15*'Aglis Load Factor'!$AT$2)&gt;1,1,'Aglis Total Tonnage'!Q15/('Aglis Load Factor'!Q15*'Aglis Load Factor'!$AT$2)),0)</f>
        <v>0.68083111933094698</v>
      </c>
      <c r="AM15" s="44">
        <f>IFERROR(IF('Aglis Total Tonnage'!R15/('Aglis Load Factor'!R15*'Aglis Load Factor'!$AT$2)&gt;1,1,'Aglis Total Tonnage'!R15/('Aglis Load Factor'!R15*'Aglis Load Factor'!$AT$2)),0)</f>
        <v>0.68928761886476997</v>
      </c>
      <c r="AN15" s="44">
        <f>IFERROR(IF('Aglis Total Tonnage'!S15/('Aglis Load Factor'!S15*'Aglis Load Factor'!$AT$2)&gt;1,1,'Aglis Total Tonnage'!S15/('Aglis Load Factor'!S15*'Aglis Load Factor'!$AT$2)),0)</f>
        <v>0.71614198929440731</v>
      </c>
      <c r="AO15" s="44">
        <f>IFERROR(IF('Aglis Total Tonnage'!T15/('Aglis Load Factor'!T15*'Aglis Load Factor'!$AT$2)&gt;1,1,'Aglis Total Tonnage'!T15/('Aglis Load Factor'!T15*'Aglis Load Factor'!$AT$2)),0)</f>
        <v>0.72465330364304537</v>
      </c>
      <c r="AP15" s="44">
        <f>IFERROR(IF('Aglis Total Tonnage'!U15/('Aglis Load Factor'!U15*'Aglis Load Factor'!$AT$2)&gt;1,1,'Aglis Total Tonnage'!U15/('Aglis Load Factor'!U15*'Aglis Load Factor'!$AT$2)),0)</f>
        <v>0.7331646179916832</v>
      </c>
      <c r="AQ15" s="44">
        <f>IFERROR(IF('Aglis Total Tonnage'!V15/('Aglis Load Factor'!V15*'Aglis Load Factor'!$AT$2)&gt;1,1,'Aglis Total Tonnage'!V15/('Aglis Load Factor'!V15*'Aglis Load Factor'!$AT$2)),0)</f>
        <v>0.74167593234032148</v>
      </c>
      <c r="AU15" s="50" t="s">
        <v>26</v>
      </c>
      <c r="AV15" s="45">
        <f t="shared" si="1"/>
        <v>0</v>
      </c>
      <c r="AW15" s="45">
        <f t="shared" si="2"/>
        <v>0</v>
      </c>
      <c r="AX15" s="45">
        <f t="shared" si="3"/>
        <v>0</v>
      </c>
      <c r="AY15" s="45">
        <f t="shared" si="4"/>
        <v>0</v>
      </c>
      <c r="AZ15" s="45">
        <f t="shared" si="5"/>
        <v>0</v>
      </c>
      <c r="BA15" s="45">
        <f t="shared" si="6"/>
        <v>0</v>
      </c>
      <c r="BB15" s="45">
        <f t="shared" si="7"/>
        <v>0</v>
      </c>
      <c r="BC15" s="45">
        <f t="shared" si="8"/>
        <v>0</v>
      </c>
      <c r="BD15" s="45">
        <f t="shared" si="9"/>
        <v>16.568634605349214</v>
      </c>
      <c r="BE15" s="45">
        <f t="shared" si="10"/>
        <v>16.791003122421007</v>
      </c>
      <c r="BF15" s="45">
        <f t="shared" si="11"/>
        <v>17.013371639492799</v>
      </c>
      <c r="BG15" s="45">
        <f t="shared" si="12"/>
        <v>17.235740156564589</v>
      </c>
      <c r="BH15" s="45">
        <f t="shared" si="13"/>
        <v>17.925789247109105</v>
      </c>
      <c r="BI15" s="45">
        <f t="shared" si="14"/>
        <v>18.154114734522338</v>
      </c>
      <c r="BJ15" s="45">
        <f t="shared" si="15"/>
        <v>18.382440221935568</v>
      </c>
      <c r="BK15" s="45">
        <f t="shared" si="16"/>
        <v>18.61076570934879</v>
      </c>
      <c r="BL15" s="45">
        <f t="shared" si="17"/>
        <v>19.335833710948997</v>
      </c>
      <c r="BM15" s="45">
        <f t="shared" si="18"/>
        <v>19.565639198362224</v>
      </c>
      <c r="BN15" s="45">
        <f t="shared" si="19"/>
        <v>19.795444685775447</v>
      </c>
      <c r="BO15" s="45">
        <f t="shared" si="20"/>
        <v>20.025250173188681</v>
      </c>
    </row>
    <row r="16" spans="1:67">
      <c r="A16" s="109"/>
      <c r="B16" s="50" t="s">
        <v>28</v>
      </c>
      <c r="C16" s="18">
        <f>'Aglis Market Share'!C18*'Total Tonnage'!E16</f>
        <v>0</v>
      </c>
      <c r="D16" s="18">
        <f>'Aglis Market Share'!D18*'Total Tonnage'!F16</f>
        <v>0</v>
      </c>
      <c r="E16" s="18">
        <f>'Aglis Market Share'!E18*'Total Tonnage'!G16</f>
        <v>0</v>
      </c>
      <c r="F16" s="18">
        <f>'Aglis Market Share'!F18*'Total Tonnage'!H16</f>
        <v>0</v>
      </c>
      <c r="G16" s="18">
        <f>'Aglis Market Share'!G18*'Total Tonnage'!I16</f>
        <v>0</v>
      </c>
      <c r="H16" s="18">
        <f>'Aglis Market Share'!H18*'Total Tonnage'!J16</f>
        <v>0</v>
      </c>
      <c r="I16" s="18">
        <f>'Aglis Market Share'!I18*'Total Tonnage'!K16</f>
        <v>0</v>
      </c>
      <c r="J16" s="18">
        <f>'Aglis Market Share'!J18*'Total Tonnage'!L16</f>
        <v>0</v>
      </c>
      <c r="K16" s="18">
        <v>1</v>
      </c>
      <c r="L16" s="18">
        <v>1</v>
      </c>
      <c r="M16" s="18">
        <v>1</v>
      </c>
      <c r="N16" s="18">
        <v>1</v>
      </c>
      <c r="O16" s="18">
        <v>1</v>
      </c>
      <c r="P16" s="18">
        <v>1</v>
      </c>
      <c r="Q16" s="18">
        <v>1</v>
      </c>
      <c r="R16" s="18">
        <v>1</v>
      </c>
      <c r="S16" s="18">
        <v>1</v>
      </c>
      <c r="T16" s="18">
        <v>1</v>
      </c>
      <c r="U16" s="18">
        <v>1</v>
      </c>
      <c r="V16" s="18">
        <v>1</v>
      </c>
      <c r="W16" s="50" t="s">
        <v>28</v>
      </c>
      <c r="X16" s="44">
        <f>IFERROR(IF('Aglis Total Tonnage'!C16/('Aglis Load Factor'!C16*'Aglis Load Factor'!$AT$2)&gt;1,1,'Aglis Total Tonnage'!C16/('Aglis Load Factor'!C16*'Aglis Load Factor'!$AT$2)),0)</f>
        <v>0</v>
      </c>
      <c r="Y16" s="44">
        <f>IFERROR(IF('Aglis Total Tonnage'!D16/('Aglis Load Factor'!D16*'Aglis Load Factor'!$AT$2)&gt;1,1,'Aglis Total Tonnage'!D16/('Aglis Load Factor'!D16*'Aglis Load Factor'!$AT$2)),0)</f>
        <v>0</v>
      </c>
      <c r="Z16" s="44">
        <f>IFERROR(IF('Aglis Total Tonnage'!E16/('Aglis Load Factor'!E16*'Aglis Load Factor'!$AT$2)&gt;1,1,'Aglis Total Tonnage'!E16/('Aglis Load Factor'!E16*'Aglis Load Factor'!$AT$2)),0)</f>
        <v>0</v>
      </c>
      <c r="AA16" s="44">
        <f>IFERROR(IF('Aglis Total Tonnage'!F16/('Aglis Load Factor'!F16*'Aglis Load Factor'!$AT$2)&gt;1,1,'Aglis Total Tonnage'!F16/('Aglis Load Factor'!F16*'Aglis Load Factor'!$AT$2)),0)</f>
        <v>0</v>
      </c>
      <c r="AB16" s="44">
        <f>IFERROR(IF('Aglis Total Tonnage'!G16/('Aglis Load Factor'!G16*'Aglis Load Factor'!$AT$2)&gt;1,1,'Aglis Total Tonnage'!G16/('Aglis Load Factor'!G16*'Aglis Load Factor'!$AT$2)),0)</f>
        <v>0</v>
      </c>
      <c r="AC16" s="44">
        <f>IFERROR(IF('Aglis Total Tonnage'!H16/('Aglis Load Factor'!H16*'Aglis Load Factor'!$AT$2)&gt;1,1,'Aglis Total Tonnage'!H16/('Aglis Load Factor'!H16*'Aglis Load Factor'!$AT$2)),0)</f>
        <v>0</v>
      </c>
      <c r="AD16" s="44">
        <f>IFERROR(IF('Aglis Total Tonnage'!I16/('Aglis Load Factor'!I16*'Aglis Load Factor'!$AT$2)&gt;1,1,'Aglis Total Tonnage'!I16/('Aglis Load Factor'!I16*'Aglis Load Factor'!$AT$2)),0)</f>
        <v>0</v>
      </c>
      <c r="AE16" s="44">
        <f>IFERROR(IF('Aglis Total Tonnage'!J16/('Aglis Load Factor'!J16*'Aglis Load Factor'!$AT$2)&gt;1,1,'Aglis Total Tonnage'!J16/('Aglis Load Factor'!J16*'Aglis Load Factor'!$AT$2)),0)</f>
        <v>0</v>
      </c>
      <c r="AF16" s="44">
        <f>IFERROR(IF('Aglis Total Tonnage'!K16/('Aglis Load Factor'!K16*'Aglis Load Factor'!$AT$2)&gt;1,1,'Aglis Total Tonnage'!K16/('Aglis Load Factor'!K16*'Aglis Load Factor'!$AT$2)),0)</f>
        <v>9.684238437097184E-2</v>
      </c>
      <c r="AG16" s="44">
        <f>IFERROR(IF('Aglis Total Tonnage'!L16/('Aglis Load Factor'!L16*'Aglis Load Factor'!$AT$2)&gt;1,1,'Aglis Total Tonnage'!L16/('Aglis Load Factor'!L16*'Aglis Load Factor'!$AT$2)),0)</f>
        <v>9.8372733161031595E-2</v>
      </c>
      <c r="AH16" s="44">
        <f>IFERROR(IF('Aglis Total Tonnage'!M16/('Aglis Load Factor'!M16*'Aglis Load Factor'!$AT$2)&gt;1,1,'Aglis Total Tonnage'!M16/('Aglis Load Factor'!M16*'Aglis Load Factor'!$AT$2)),0)</f>
        <v>9.9903081951091377E-2</v>
      </c>
      <c r="AI16" s="44">
        <f>IFERROR(IF('Aglis Total Tonnage'!N16/('Aglis Load Factor'!N16*'Aglis Load Factor'!$AT$2)&gt;1,1,'Aglis Total Tonnage'!N16/('Aglis Load Factor'!N16*'Aglis Load Factor'!$AT$2)),0)</f>
        <v>0.10143343074115119</v>
      </c>
      <c r="AJ16" s="44">
        <f>IFERROR(IF('Aglis Total Tonnage'!O16/('Aglis Load Factor'!O16*'Aglis Load Factor'!$AT$2)&gt;1,1,'Aglis Total Tonnage'!O16/('Aglis Load Factor'!O16*'Aglis Load Factor'!$AT$2)),0)</f>
        <v>0.10826847137911717</v>
      </c>
      <c r="AK16" s="44">
        <f>IFERROR(IF('Aglis Total Tonnage'!P16/('Aglis Load Factor'!P16*'Aglis Load Factor'!$AT$2)&gt;1,1,'Aglis Total Tonnage'!P16/('Aglis Load Factor'!P16*'Aglis Load Factor'!$AT$2)),0)</f>
        <v>0.1098827028412724</v>
      </c>
      <c r="AL16" s="44">
        <f>IFERROR(IF('Aglis Total Tonnage'!Q16/('Aglis Load Factor'!Q16*'Aglis Load Factor'!$AT$2)&gt;1,1,'Aglis Total Tonnage'!Q16/('Aglis Load Factor'!Q16*'Aglis Load Factor'!$AT$2)),0)</f>
        <v>0.11149693430342765</v>
      </c>
      <c r="AM16" s="44">
        <f>IFERROR(IF('Aglis Total Tonnage'!R16/('Aglis Load Factor'!R16*'Aglis Load Factor'!$AT$2)&gt;1,1,'Aglis Total Tonnage'!R16/('Aglis Load Factor'!R16*'Aglis Load Factor'!$AT$2)),0)</f>
        <v>0.11311116576558282</v>
      </c>
      <c r="AN16" s="44">
        <f>IFERROR(IF('Aglis Total Tonnage'!S16/('Aglis Load Factor'!S16*'Aglis Load Factor'!$AT$2)&gt;1,1,'Aglis Total Tonnage'!S16/('Aglis Load Factor'!S16*'Aglis Load Factor'!$AT$2)),0)</f>
        <v>0.12065800136191872</v>
      </c>
      <c r="AO16" s="44">
        <f>IFERROR(IF('Aglis Total Tonnage'!T16/('Aglis Load Factor'!T16*'Aglis Load Factor'!$AT$2)&gt;1,1,'Aglis Total Tonnage'!T16/('Aglis Load Factor'!T16*'Aglis Load Factor'!$AT$2)),0)</f>
        <v>0.12236058812466444</v>
      </c>
      <c r="AP16" s="44">
        <f>IFERROR(IF('Aglis Total Tonnage'!U16/('Aglis Load Factor'!U16*'Aglis Load Factor'!$AT$2)&gt;1,1,'Aglis Total Tonnage'!U16/('Aglis Load Factor'!U16*'Aglis Load Factor'!$AT$2)),0)</f>
        <v>0.12406317488741016</v>
      </c>
      <c r="AQ16" s="44">
        <f>IFERROR(IF('Aglis Total Tonnage'!V16/('Aglis Load Factor'!V16*'Aglis Load Factor'!$AT$2)&gt;1,1,'Aglis Total Tonnage'!V16/('Aglis Load Factor'!V16*'Aglis Load Factor'!$AT$2)),0)</f>
        <v>0.12576576165015588</v>
      </c>
      <c r="AU16" s="50" t="s">
        <v>28</v>
      </c>
      <c r="AV16" s="45">
        <f t="shared" si="1"/>
        <v>0</v>
      </c>
      <c r="AW16" s="45">
        <f t="shared" si="2"/>
        <v>0</v>
      </c>
      <c r="AX16" s="45">
        <f t="shared" si="3"/>
        <v>0</v>
      </c>
      <c r="AY16" s="45">
        <f t="shared" si="4"/>
        <v>0</v>
      </c>
      <c r="AZ16" s="45">
        <f t="shared" si="5"/>
        <v>0</v>
      </c>
      <c r="BA16" s="45">
        <f t="shared" si="6"/>
        <v>0</v>
      </c>
      <c r="BB16" s="45">
        <f t="shared" si="7"/>
        <v>0</v>
      </c>
      <c r="BC16" s="45">
        <f t="shared" si="8"/>
        <v>0</v>
      </c>
      <c r="BD16" s="45">
        <f t="shared" si="9"/>
        <v>2.6147443780162396</v>
      </c>
      <c r="BE16" s="45">
        <f t="shared" si="10"/>
        <v>2.656063795347853</v>
      </c>
      <c r="BF16" s="45">
        <f t="shared" si="11"/>
        <v>2.6973832126794672</v>
      </c>
      <c r="BG16" s="45">
        <f t="shared" si="12"/>
        <v>2.7387026300110819</v>
      </c>
      <c r="BH16" s="45">
        <f t="shared" si="13"/>
        <v>2.9232487272361638</v>
      </c>
      <c r="BI16" s="45">
        <f t="shared" si="14"/>
        <v>2.9668329767143549</v>
      </c>
      <c r="BJ16" s="45">
        <f t="shared" si="15"/>
        <v>3.0104172261925464</v>
      </c>
      <c r="BK16" s="45">
        <f t="shared" si="16"/>
        <v>3.0540014756707361</v>
      </c>
      <c r="BL16" s="45">
        <f t="shared" si="17"/>
        <v>3.2577660367718053</v>
      </c>
      <c r="BM16" s="45">
        <f t="shared" si="18"/>
        <v>3.3037358793659397</v>
      </c>
      <c r="BN16" s="45">
        <f t="shared" si="19"/>
        <v>3.3497057219600741</v>
      </c>
      <c r="BO16" s="45">
        <f t="shared" si="20"/>
        <v>3.3956755645542085</v>
      </c>
    </row>
    <row r="17" spans="1:67">
      <c r="A17" s="107">
        <v>4</v>
      </c>
      <c r="B17" s="51" t="s">
        <v>30</v>
      </c>
      <c r="C17" s="18">
        <f>'Aglis Market Share'!C19*'Total Tonnage'!E17</f>
        <v>0</v>
      </c>
      <c r="D17" s="18">
        <f>'Aglis Market Share'!D19*'Total Tonnage'!F17</f>
        <v>0</v>
      </c>
      <c r="E17" s="18">
        <f>'Aglis Market Share'!E19*'Total Tonnage'!G17</f>
        <v>0</v>
      </c>
      <c r="F17" s="18">
        <f>'Aglis Market Share'!F19*'Total Tonnage'!H17</f>
        <v>0</v>
      </c>
      <c r="G17" s="18">
        <f>'Aglis Market Share'!G19*'Total Tonnage'!I17</f>
        <v>0</v>
      </c>
      <c r="H17" s="18">
        <f>'Aglis Market Share'!H19*'Total Tonnage'!J17</f>
        <v>0</v>
      </c>
      <c r="I17" s="18">
        <f>'Aglis Market Share'!I19*'Total Tonnage'!K17</f>
        <v>0</v>
      </c>
      <c r="J17" s="18">
        <f>'Aglis Market Share'!J19*'Total Tonnage'!L17</f>
        <v>0</v>
      </c>
      <c r="K17" s="18">
        <v>0</v>
      </c>
      <c r="L17" s="18">
        <f>'Aglis Market Share'!L19*'Total Tonnage'!N17</f>
        <v>0</v>
      </c>
      <c r="M17" s="18">
        <f>'Aglis Market Share'!M19*'Total Tonnage'!O17</f>
        <v>0</v>
      </c>
      <c r="N17" s="18">
        <f>'Aglis Market Share'!N19*'Total Tonnage'!P17</f>
        <v>0</v>
      </c>
      <c r="O17" s="18">
        <v>1</v>
      </c>
      <c r="P17" s="18">
        <v>1</v>
      </c>
      <c r="Q17" s="18">
        <v>1</v>
      </c>
      <c r="R17" s="18">
        <v>1</v>
      </c>
      <c r="S17" s="18">
        <v>1</v>
      </c>
      <c r="T17" s="18">
        <v>1</v>
      </c>
      <c r="U17" s="18">
        <v>1</v>
      </c>
      <c r="V17" s="18">
        <v>1</v>
      </c>
      <c r="W17" s="51" t="s">
        <v>30</v>
      </c>
      <c r="X17" s="44">
        <f>IFERROR(IF('Aglis Total Tonnage'!C17/('Aglis Load Factor'!C17*'Aglis Load Factor'!$AT$2)&gt;1,1,'Aglis Total Tonnage'!C17/('Aglis Load Factor'!C17*'Aglis Load Factor'!$AT$2)),0)</f>
        <v>0</v>
      </c>
      <c r="Y17" s="44">
        <f>IFERROR(IF('Aglis Total Tonnage'!D17/('Aglis Load Factor'!D17*'Aglis Load Factor'!$AT$2)&gt;1,1,'Aglis Total Tonnage'!D17/('Aglis Load Factor'!D17*'Aglis Load Factor'!$AT$2)),0)</f>
        <v>0</v>
      </c>
      <c r="Z17" s="44">
        <f>IFERROR(IF('Aglis Total Tonnage'!E17/('Aglis Load Factor'!E17*'Aglis Load Factor'!$AT$2)&gt;1,1,'Aglis Total Tonnage'!E17/('Aglis Load Factor'!E17*'Aglis Load Factor'!$AT$2)),0)</f>
        <v>0</v>
      </c>
      <c r="AA17" s="44">
        <f>IFERROR(IF('Aglis Total Tonnage'!F17/('Aglis Load Factor'!F17*'Aglis Load Factor'!$AT$2)&gt;1,1,'Aglis Total Tonnage'!F17/('Aglis Load Factor'!F17*'Aglis Load Factor'!$AT$2)),0)</f>
        <v>0</v>
      </c>
      <c r="AB17" s="44">
        <f>IFERROR(IF('Aglis Total Tonnage'!G17/('Aglis Load Factor'!G17*'Aglis Load Factor'!$AT$2)&gt;1,1,'Aglis Total Tonnage'!G17/('Aglis Load Factor'!G17*'Aglis Load Factor'!$AT$2)),0)</f>
        <v>0</v>
      </c>
      <c r="AC17" s="44">
        <f>IFERROR(IF('Aglis Total Tonnage'!H17/('Aglis Load Factor'!H17*'Aglis Load Factor'!$AT$2)&gt;1,1,'Aglis Total Tonnage'!H17/('Aglis Load Factor'!H17*'Aglis Load Factor'!$AT$2)),0)</f>
        <v>0</v>
      </c>
      <c r="AD17" s="44">
        <f>IFERROR(IF('Aglis Total Tonnage'!I17/('Aglis Load Factor'!I17*'Aglis Load Factor'!$AT$2)&gt;1,1,'Aglis Total Tonnage'!I17/('Aglis Load Factor'!I17*'Aglis Load Factor'!$AT$2)),0)</f>
        <v>0</v>
      </c>
      <c r="AE17" s="44">
        <f>IFERROR(IF('Aglis Total Tonnage'!J17/('Aglis Load Factor'!J17*'Aglis Load Factor'!$AT$2)&gt;1,1,'Aglis Total Tonnage'!J17/('Aglis Load Factor'!J17*'Aglis Load Factor'!$AT$2)),0)</f>
        <v>0</v>
      </c>
      <c r="AF17" s="44">
        <f>IFERROR(IF('Aglis Total Tonnage'!K17/('Aglis Load Factor'!K17*'Aglis Load Factor'!$AT$2)&gt;1,1,'Aglis Total Tonnage'!K17/('Aglis Load Factor'!K17*'Aglis Load Factor'!$AT$2)),0)</f>
        <v>0</v>
      </c>
      <c r="AG17" s="44">
        <f>IFERROR(IF('Aglis Total Tonnage'!L17/('Aglis Load Factor'!L17*'Aglis Load Factor'!$AT$2)&gt;1,1,'Aglis Total Tonnage'!L17/('Aglis Load Factor'!L17*'Aglis Load Factor'!$AT$2)),0)</f>
        <v>0</v>
      </c>
      <c r="AH17" s="44">
        <f>IFERROR(IF('Aglis Total Tonnage'!M17/('Aglis Load Factor'!M17*'Aglis Load Factor'!$AT$2)&gt;1,1,'Aglis Total Tonnage'!M17/('Aglis Load Factor'!M17*'Aglis Load Factor'!$AT$2)),0)</f>
        <v>0</v>
      </c>
      <c r="AI17" s="44">
        <f>IFERROR(IF('Aglis Total Tonnage'!N17/('Aglis Load Factor'!N17*'Aglis Load Factor'!$AT$2)&gt;1,1,'Aglis Total Tonnage'!N17/('Aglis Load Factor'!N17*'Aglis Load Factor'!$AT$2)),0)</f>
        <v>0</v>
      </c>
      <c r="AJ17" s="44">
        <f>IFERROR(IF('Aglis Total Tonnage'!O17/('Aglis Load Factor'!O17*'Aglis Load Factor'!$AT$2)&gt;1,1,'Aglis Total Tonnage'!O17/('Aglis Load Factor'!O17*'Aglis Load Factor'!$AT$2)),0)</f>
        <v>0.5544444444444443</v>
      </c>
      <c r="AK17" s="44">
        <f>IFERROR(IF('Aglis Total Tonnage'!P17/('Aglis Load Factor'!P17*'Aglis Load Factor'!$AT$2)&gt;1,1,'Aglis Total Tonnage'!P17/('Aglis Load Factor'!P17*'Aglis Load Factor'!$AT$2)),0)</f>
        <v>0.56137021522725528</v>
      </c>
      <c r="AL17" s="44">
        <f>IFERROR(IF('Aglis Total Tonnage'!Q17/('Aglis Load Factor'!Q17*'Aglis Load Factor'!$AT$2)&gt;1,1,'Aglis Total Tonnage'!Q17/('Aglis Load Factor'!Q17*'Aglis Load Factor'!$AT$2)),0)</f>
        <v>0.5681953850172522</v>
      </c>
      <c r="AM17" s="44">
        <f>IFERROR(IF('Aglis Total Tonnage'!R17/('Aglis Load Factor'!R17*'Aglis Load Factor'!$AT$2)&gt;1,1,'Aglis Total Tonnage'!R17/('Aglis Load Factor'!R17*'Aglis Load Factor'!$AT$2)),0)</f>
        <v>0.57502055480724934</v>
      </c>
      <c r="AN17" s="44">
        <f>IFERROR(IF('Aglis Total Tonnage'!S17/('Aglis Load Factor'!S17*'Aglis Load Factor'!$AT$2)&gt;1,1,'Aglis Total Tonnage'!S17/('Aglis Load Factor'!S17*'Aglis Load Factor'!$AT$2)),0)</f>
        <v>0.5953187927723822</v>
      </c>
      <c r="AO17" s="44">
        <f>IFERROR(IF('Aglis Total Tonnage'!T17/('Aglis Load Factor'!T17*'Aglis Load Factor'!$AT$2)&gt;1,1,'Aglis Total Tonnage'!T17/('Aglis Load Factor'!T17*'Aglis Load Factor'!$AT$2)),0)</f>
        <v>0.59987918611456559</v>
      </c>
      <c r="AP17" s="44">
        <f>IFERROR(IF('Aglis Total Tonnage'!U17/('Aglis Load Factor'!U17*'Aglis Load Factor'!$AT$2)&gt;1,1,'Aglis Total Tonnage'!U17/('Aglis Load Factor'!U17*'Aglis Load Factor'!$AT$2)),0)</f>
        <v>0.6044395794567492</v>
      </c>
      <c r="AQ17" s="44">
        <f>IFERROR(IF('Aglis Total Tonnage'!V17/('Aglis Load Factor'!V17*'Aglis Load Factor'!$AT$2)&gt;1,1,'Aglis Total Tonnage'!V17/('Aglis Load Factor'!V17*'Aglis Load Factor'!$AT$2)),0)</f>
        <v>0.6089999727989327</v>
      </c>
      <c r="AU17" s="51" t="s">
        <v>30</v>
      </c>
      <c r="AV17" s="45">
        <f t="shared" si="1"/>
        <v>0</v>
      </c>
      <c r="AW17" s="45">
        <f t="shared" si="2"/>
        <v>0</v>
      </c>
      <c r="AX17" s="45">
        <f t="shared" si="3"/>
        <v>0</v>
      </c>
      <c r="AY17" s="45">
        <f t="shared" si="4"/>
        <v>0</v>
      </c>
      <c r="AZ17" s="45">
        <f t="shared" si="5"/>
        <v>0</v>
      </c>
      <c r="BA17" s="45">
        <f t="shared" si="6"/>
        <v>0</v>
      </c>
      <c r="BB17" s="45">
        <f t="shared" si="7"/>
        <v>0</v>
      </c>
      <c r="BC17" s="45">
        <f t="shared" si="8"/>
        <v>0</v>
      </c>
      <c r="BD17" s="45">
        <f t="shared" si="9"/>
        <v>0</v>
      </c>
      <c r="BE17" s="45">
        <f t="shared" si="10"/>
        <v>0</v>
      </c>
      <c r="BF17" s="45">
        <f t="shared" si="11"/>
        <v>0</v>
      </c>
      <c r="BG17" s="45">
        <f t="shared" si="12"/>
        <v>0</v>
      </c>
      <c r="BH17" s="45">
        <f t="shared" si="13"/>
        <v>14.969999999999995</v>
      </c>
      <c r="BI17" s="45">
        <f t="shared" si="14"/>
        <v>15.156995811135893</v>
      </c>
      <c r="BJ17" s="45">
        <f t="shared" si="15"/>
        <v>15.341275395465809</v>
      </c>
      <c r="BK17" s="45">
        <f t="shared" si="16"/>
        <v>15.525554979795732</v>
      </c>
      <c r="BL17" s="45">
        <f t="shared" si="17"/>
        <v>16.073607404854318</v>
      </c>
      <c r="BM17" s="45">
        <f t="shared" si="18"/>
        <v>16.196738025093271</v>
      </c>
      <c r="BN17" s="45">
        <f t="shared" si="19"/>
        <v>16.319868645332228</v>
      </c>
      <c r="BO17" s="45">
        <f t="shared" si="20"/>
        <v>16.442999265571181</v>
      </c>
    </row>
    <row r="18" spans="1:67">
      <c r="A18" s="108"/>
      <c r="B18" s="52" t="s">
        <v>31</v>
      </c>
      <c r="C18" s="18">
        <f>'Aglis Market Share'!C20*'Total Tonnage'!E18</f>
        <v>0</v>
      </c>
      <c r="D18" s="18">
        <f>'Aglis Market Share'!D20*'Total Tonnage'!F18</f>
        <v>0</v>
      </c>
      <c r="E18" s="18">
        <f>'Aglis Market Share'!E20*'Total Tonnage'!G18</f>
        <v>0</v>
      </c>
      <c r="F18" s="18">
        <f>'Aglis Market Share'!F20*'Total Tonnage'!H18</f>
        <v>0</v>
      </c>
      <c r="G18" s="18">
        <f>'Aglis Market Share'!G20*'Total Tonnage'!I18</f>
        <v>0</v>
      </c>
      <c r="H18" s="18">
        <f>'Aglis Market Share'!H20*'Total Tonnage'!J18</f>
        <v>0</v>
      </c>
      <c r="I18" s="18">
        <f>'Aglis Market Share'!I20*'Total Tonnage'!K18</f>
        <v>0</v>
      </c>
      <c r="J18" s="18">
        <f>'Aglis Market Share'!J20*'Total Tonnage'!L18</f>
        <v>0</v>
      </c>
      <c r="K18" s="18">
        <v>0</v>
      </c>
      <c r="L18" s="18">
        <f>'Aglis Market Share'!L20*'Total Tonnage'!N18</f>
        <v>0</v>
      </c>
      <c r="M18" s="18">
        <f>'Aglis Market Share'!M20*'Total Tonnage'!O18</f>
        <v>0</v>
      </c>
      <c r="N18" s="18">
        <f>'Aglis Market Share'!N20*'Total Tonnage'!P18</f>
        <v>0</v>
      </c>
      <c r="O18" s="18">
        <v>1</v>
      </c>
      <c r="P18" s="18">
        <v>1</v>
      </c>
      <c r="Q18" s="18">
        <v>1</v>
      </c>
      <c r="R18" s="18">
        <v>1</v>
      </c>
      <c r="S18" s="18">
        <v>1</v>
      </c>
      <c r="T18" s="18">
        <v>1</v>
      </c>
      <c r="U18" s="18">
        <v>1</v>
      </c>
      <c r="V18" s="18">
        <v>1</v>
      </c>
      <c r="W18" s="52" t="s">
        <v>31</v>
      </c>
      <c r="X18" s="44">
        <f>IFERROR(IF('Aglis Total Tonnage'!C18/('Aglis Load Factor'!C18*'Aglis Load Factor'!$AT$2)&gt;1,1,'Aglis Total Tonnage'!C18/('Aglis Load Factor'!C18*'Aglis Load Factor'!$AT$2)),0)</f>
        <v>0</v>
      </c>
      <c r="Y18" s="44">
        <f>IFERROR(IF('Aglis Total Tonnage'!D18/('Aglis Load Factor'!D18*'Aglis Load Factor'!$AT$2)&gt;1,1,'Aglis Total Tonnage'!D18/('Aglis Load Factor'!D18*'Aglis Load Factor'!$AT$2)),0)</f>
        <v>0</v>
      </c>
      <c r="Z18" s="44">
        <f>IFERROR(IF('Aglis Total Tonnage'!E18/('Aglis Load Factor'!E18*'Aglis Load Factor'!$AT$2)&gt;1,1,'Aglis Total Tonnage'!E18/('Aglis Load Factor'!E18*'Aglis Load Factor'!$AT$2)),0)</f>
        <v>0</v>
      </c>
      <c r="AA18" s="44">
        <f>IFERROR(IF('Aglis Total Tonnage'!F18/('Aglis Load Factor'!F18*'Aglis Load Factor'!$AT$2)&gt;1,1,'Aglis Total Tonnage'!F18/('Aglis Load Factor'!F18*'Aglis Load Factor'!$AT$2)),0)</f>
        <v>0</v>
      </c>
      <c r="AB18" s="44">
        <f>IFERROR(IF('Aglis Total Tonnage'!G18/('Aglis Load Factor'!G18*'Aglis Load Factor'!$AT$2)&gt;1,1,'Aglis Total Tonnage'!G18/('Aglis Load Factor'!G18*'Aglis Load Factor'!$AT$2)),0)</f>
        <v>0</v>
      </c>
      <c r="AC18" s="44">
        <f>IFERROR(IF('Aglis Total Tonnage'!H18/('Aglis Load Factor'!H18*'Aglis Load Factor'!$AT$2)&gt;1,1,'Aglis Total Tonnage'!H18/('Aglis Load Factor'!H18*'Aglis Load Factor'!$AT$2)),0)</f>
        <v>0</v>
      </c>
      <c r="AD18" s="44">
        <f>IFERROR(IF('Aglis Total Tonnage'!I18/('Aglis Load Factor'!I18*'Aglis Load Factor'!$AT$2)&gt;1,1,'Aglis Total Tonnage'!I18/('Aglis Load Factor'!I18*'Aglis Load Factor'!$AT$2)),0)</f>
        <v>0</v>
      </c>
      <c r="AE18" s="44">
        <f>IFERROR(IF('Aglis Total Tonnage'!J18/('Aglis Load Factor'!J18*'Aglis Load Factor'!$AT$2)&gt;1,1,'Aglis Total Tonnage'!J18/('Aglis Load Factor'!J18*'Aglis Load Factor'!$AT$2)),0)</f>
        <v>0</v>
      </c>
      <c r="AF18" s="44">
        <f>IFERROR(IF('Aglis Total Tonnage'!K18/('Aglis Load Factor'!K18*'Aglis Load Factor'!$AT$2)&gt;1,1,'Aglis Total Tonnage'!K18/('Aglis Load Factor'!K18*'Aglis Load Factor'!$AT$2)),0)</f>
        <v>0</v>
      </c>
      <c r="AG18" s="44">
        <f>IFERROR(IF('Aglis Total Tonnage'!L18/('Aglis Load Factor'!L18*'Aglis Load Factor'!$AT$2)&gt;1,1,'Aglis Total Tonnage'!L18/('Aglis Load Factor'!L18*'Aglis Load Factor'!$AT$2)),0)</f>
        <v>0</v>
      </c>
      <c r="AH18" s="44">
        <f>IFERROR(IF('Aglis Total Tonnage'!M18/('Aglis Load Factor'!M18*'Aglis Load Factor'!$AT$2)&gt;1,1,'Aglis Total Tonnage'!M18/('Aglis Load Factor'!M18*'Aglis Load Factor'!$AT$2)),0)</f>
        <v>0</v>
      </c>
      <c r="AI18" s="44">
        <f>IFERROR(IF('Aglis Total Tonnage'!N18/('Aglis Load Factor'!N18*'Aglis Load Factor'!$AT$2)&gt;1,1,'Aglis Total Tonnage'!N18/('Aglis Load Factor'!N18*'Aglis Load Factor'!$AT$2)),0)</f>
        <v>0</v>
      </c>
      <c r="AJ18" s="44">
        <f>IFERROR(IF('Aglis Total Tonnage'!O18/('Aglis Load Factor'!O18*'Aglis Load Factor'!$AT$2)&gt;1,1,'Aglis Total Tonnage'!O18/('Aglis Load Factor'!O18*'Aglis Load Factor'!$AT$2)),0)</f>
        <v>0.23996206852980245</v>
      </c>
      <c r="AK18" s="44">
        <f>IFERROR(IF('Aglis Total Tonnage'!P18/('Aglis Load Factor'!P18*'Aglis Load Factor'!$AT$2)&gt;1,1,'Aglis Total Tonnage'!P18/('Aglis Load Factor'!P18*'Aglis Load Factor'!$AT$2)),0)</f>
        <v>0.24302221517642136</v>
      </c>
      <c r="AL18" s="44">
        <f>IFERROR(IF('Aglis Total Tonnage'!Q18/('Aglis Load Factor'!Q18*'Aglis Load Factor'!$AT$2)&gt;1,1,'Aglis Total Tonnage'!Q18/('Aglis Load Factor'!Q18*'Aglis Load Factor'!$AT$2)),0)</f>
        <v>0.24621987590242683</v>
      </c>
      <c r="AM18" s="44">
        <f>IFERROR(IF('Aglis Total Tonnage'!R18/('Aglis Load Factor'!R18*'Aglis Load Factor'!$AT$2)&gt;1,1,'Aglis Total Tonnage'!R18/('Aglis Load Factor'!R18*'Aglis Load Factor'!$AT$2)),0)</f>
        <v>0.24941753662843241</v>
      </c>
      <c r="AN18" s="44">
        <f>IFERROR(IF('Aglis Total Tonnage'!S18/('Aglis Load Factor'!S18*'Aglis Load Factor'!$AT$2)&gt;1,1,'Aglis Total Tonnage'!S18/('Aglis Load Factor'!S18*'Aglis Load Factor'!$AT$2)),0)</f>
        <v>0.25901003537873035</v>
      </c>
      <c r="AO18" s="44">
        <f>IFERROR(IF('Aglis Total Tonnage'!T18/('Aglis Load Factor'!T18*'Aglis Load Factor'!$AT$2)&gt;1,1,'Aglis Total Tonnage'!T18/('Aglis Load Factor'!T18*'Aglis Load Factor'!$AT$2)),0)</f>
        <v>0.26293664596676636</v>
      </c>
      <c r="AP18" s="44">
        <f>IFERROR(IF('Aglis Total Tonnage'!U18/('Aglis Load Factor'!U18*'Aglis Load Factor'!$AT$2)&gt;1,1,'Aglis Total Tonnage'!U18/('Aglis Load Factor'!U18*'Aglis Load Factor'!$AT$2)),0)</f>
        <v>0.26686325655480242</v>
      </c>
      <c r="AQ18" s="44">
        <f>IFERROR(IF('Aglis Total Tonnage'!V18/('Aglis Load Factor'!V18*'Aglis Load Factor'!$AT$2)&gt;1,1,'Aglis Total Tonnage'!V18/('Aglis Load Factor'!V18*'Aglis Load Factor'!$AT$2)),0)</f>
        <v>0.27078986714283843</v>
      </c>
      <c r="AU18" s="52" t="s">
        <v>31</v>
      </c>
      <c r="AV18" s="45">
        <f t="shared" si="1"/>
        <v>0</v>
      </c>
      <c r="AW18" s="45">
        <f t="shared" si="2"/>
        <v>0</v>
      </c>
      <c r="AX18" s="45">
        <f t="shared" si="3"/>
        <v>0</v>
      </c>
      <c r="AY18" s="45">
        <f t="shared" si="4"/>
        <v>0</v>
      </c>
      <c r="AZ18" s="45">
        <f t="shared" si="5"/>
        <v>0</v>
      </c>
      <c r="BA18" s="45">
        <f t="shared" si="6"/>
        <v>0</v>
      </c>
      <c r="BB18" s="45">
        <f t="shared" si="7"/>
        <v>0</v>
      </c>
      <c r="BC18" s="45">
        <f t="shared" si="8"/>
        <v>0</v>
      </c>
      <c r="BD18" s="45">
        <f t="shared" si="9"/>
        <v>0</v>
      </c>
      <c r="BE18" s="45">
        <f t="shared" si="10"/>
        <v>0</v>
      </c>
      <c r="BF18" s="45">
        <f t="shared" si="11"/>
        <v>0</v>
      </c>
      <c r="BG18" s="45">
        <f t="shared" si="12"/>
        <v>0</v>
      </c>
      <c r="BH18" s="45">
        <f t="shared" si="13"/>
        <v>6.4789758503046659</v>
      </c>
      <c r="BI18" s="45">
        <f t="shared" si="14"/>
        <v>6.5615998097633765</v>
      </c>
      <c r="BJ18" s="45">
        <f t="shared" si="15"/>
        <v>6.6479366493655245</v>
      </c>
      <c r="BK18" s="45">
        <f t="shared" si="16"/>
        <v>6.7342734889676752</v>
      </c>
      <c r="BL18" s="45">
        <f t="shared" si="17"/>
        <v>6.9932709552257197</v>
      </c>
      <c r="BM18" s="45">
        <f t="shared" si="18"/>
        <v>7.0992894411026919</v>
      </c>
      <c r="BN18" s="45">
        <f t="shared" si="19"/>
        <v>7.2053079269796649</v>
      </c>
      <c r="BO18" s="45">
        <f t="shared" si="20"/>
        <v>7.3113264128566371</v>
      </c>
    </row>
    <row r="19" spans="1:67">
      <c r="A19" s="108"/>
      <c r="B19" s="52" t="s">
        <v>32</v>
      </c>
      <c r="C19" s="18">
        <v>0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18">
        <v>0</v>
      </c>
      <c r="N19" s="18">
        <v>0</v>
      </c>
      <c r="O19" s="18">
        <v>1</v>
      </c>
      <c r="P19" s="18">
        <v>1</v>
      </c>
      <c r="Q19" s="18">
        <v>1</v>
      </c>
      <c r="R19" s="18">
        <v>1</v>
      </c>
      <c r="S19" s="18">
        <v>1</v>
      </c>
      <c r="T19" s="18">
        <v>1</v>
      </c>
      <c r="U19" s="18">
        <v>1</v>
      </c>
      <c r="V19" s="18">
        <v>1</v>
      </c>
      <c r="W19" s="52" t="s">
        <v>32</v>
      </c>
      <c r="X19" s="44">
        <f>IFERROR(IF('Aglis Total Tonnage'!C19/('Aglis Load Factor'!C19*'Aglis Load Factor'!$AT$2)&gt;1,1,'Aglis Total Tonnage'!C19/('Aglis Load Factor'!C19*'Aglis Load Factor'!$AT$2)),0)</f>
        <v>0</v>
      </c>
      <c r="Y19" s="44">
        <f>IFERROR(IF('Aglis Total Tonnage'!D19/('Aglis Load Factor'!D19*'Aglis Load Factor'!$AT$2)&gt;1,1,'Aglis Total Tonnage'!D19/('Aglis Load Factor'!D19*'Aglis Load Factor'!$AT$2)),0)</f>
        <v>0</v>
      </c>
      <c r="Z19" s="44">
        <f>IFERROR(IF('Aglis Total Tonnage'!E19/('Aglis Load Factor'!E19*'Aglis Load Factor'!$AT$2)&gt;1,1,'Aglis Total Tonnage'!E19/('Aglis Load Factor'!E19*'Aglis Load Factor'!$AT$2)),0)</f>
        <v>0</v>
      </c>
      <c r="AA19" s="44">
        <f>IFERROR(IF('Aglis Total Tonnage'!F19/('Aglis Load Factor'!F19*'Aglis Load Factor'!$AT$2)&gt;1,1,'Aglis Total Tonnage'!F19/('Aglis Load Factor'!F19*'Aglis Load Factor'!$AT$2)),0)</f>
        <v>0</v>
      </c>
      <c r="AB19" s="44">
        <f>IFERROR(IF('Aglis Total Tonnage'!G19/('Aglis Load Factor'!G19*'Aglis Load Factor'!$AT$2)&gt;1,1,'Aglis Total Tonnage'!G19/('Aglis Load Factor'!G19*'Aglis Load Factor'!$AT$2)),0)</f>
        <v>0</v>
      </c>
      <c r="AC19" s="44">
        <f>IFERROR(IF('Aglis Total Tonnage'!H19/('Aglis Load Factor'!H19*'Aglis Load Factor'!$AT$2)&gt;1,1,'Aglis Total Tonnage'!H19/('Aglis Load Factor'!H19*'Aglis Load Factor'!$AT$2)),0)</f>
        <v>0</v>
      </c>
      <c r="AD19" s="44">
        <f>IFERROR(IF('Aglis Total Tonnage'!I19/('Aglis Load Factor'!I19*'Aglis Load Factor'!$AT$2)&gt;1,1,'Aglis Total Tonnage'!I19/('Aglis Load Factor'!I19*'Aglis Load Factor'!$AT$2)),0)</f>
        <v>0</v>
      </c>
      <c r="AE19" s="44">
        <f>IFERROR(IF('Aglis Total Tonnage'!J19/('Aglis Load Factor'!J19*'Aglis Load Factor'!$AT$2)&gt;1,1,'Aglis Total Tonnage'!J19/('Aglis Load Factor'!J19*'Aglis Load Factor'!$AT$2)),0)</f>
        <v>0</v>
      </c>
      <c r="AF19" s="44">
        <f>IFERROR(IF('Aglis Total Tonnage'!K19/('Aglis Load Factor'!K19*'Aglis Load Factor'!$AT$2)&gt;1,1,'Aglis Total Tonnage'!K19/('Aglis Load Factor'!K19*'Aglis Load Factor'!$AT$2)),0)</f>
        <v>0</v>
      </c>
      <c r="AG19" s="44">
        <f>IFERROR(IF('Aglis Total Tonnage'!L19/('Aglis Load Factor'!L19*'Aglis Load Factor'!$AT$2)&gt;1,1,'Aglis Total Tonnage'!L19/('Aglis Load Factor'!L19*'Aglis Load Factor'!$AT$2)),0)</f>
        <v>0</v>
      </c>
      <c r="AH19" s="44">
        <f>IFERROR(IF('Aglis Total Tonnage'!M19/('Aglis Load Factor'!M19*'Aglis Load Factor'!$AT$2)&gt;1,1,'Aglis Total Tonnage'!M19/('Aglis Load Factor'!M19*'Aglis Load Factor'!$AT$2)),0)</f>
        <v>0</v>
      </c>
      <c r="AI19" s="44">
        <f>IFERROR(IF('Aglis Total Tonnage'!N19/('Aglis Load Factor'!N19*'Aglis Load Factor'!$AT$2)&gt;1,1,'Aglis Total Tonnage'!N19/('Aglis Load Factor'!N19*'Aglis Load Factor'!$AT$2)),0)</f>
        <v>0</v>
      </c>
      <c r="AJ19" s="44">
        <f>IFERROR(IF('Aglis Total Tonnage'!O19/('Aglis Load Factor'!O19*'Aglis Load Factor'!$AT$2)&gt;1,1,'Aglis Total Tonnage'!O19/('Aglis Load Factor'!O19*'Aglis Load Factor'!$AT$2)),0)</f>
        <v>0.10142579098404704</v>
      </c>
      <c r="AK19" s="44">
        <f>IFERROR(IF('Aglis Total Tonnage'!P19/('Aglis Load Factor'!P19*'Aglis Load Factor'!$AT$2)&gt;1,1,'Aglis Total Tonnage'!P19/('Aglis Load Factor'!P19*'Aglis Load Factor'!$AT$2)),0)</f>
        <v>0.10812551180969816</v>
      </c>
      <c r="AL19" s="44">
        <f>IFERROR(IF('Aglis Total Tonnage'!Q19/('Aglis Load Factor'!Q19*'Aglis Load Factor'!$AT$2)&gt;1,1,'Aglis Total Tonnage'!Q19/('Aglis Load Factor'!Q19*'Aglis Load Factor'!$AT$2)),0)</f>
        <v>0.11488335629780427</v>
      </c>
      <c r="AM19" s="44">
        <f>IFERROR(IF('Aglis Total Tonnage'!R19/('Aglis Load Factor'!R19*'Aglis Load Factor'!$AT$2)&gt;1,1,'Aglis Total Tonnage'!R19/('Aglis Load Factor'!R19*'Aglis Load Factor'!$AT$2)),0)</f>
        <v>0.12164120078591044</v>
      </c>
      <c r="AN19" s="44">
        <f>IFERROR(IF('Aglis Total Tonnage'!S19/('Aglis Load Factor'!S19*'Aglis Load Factor'!$AT$2)&gt;1,1,'Aglis Total Tonnage'!S19/('Aglis Load Factor'!S19*'Aglis Load Factor'!$AT$2)),0)</f>
        <v>0.12809721992583578</v>
      </c>
      <c r="AO19" s="44">
        <f>IFERROR(IF('Aglis Total Tonnage'!T19/('Aglis Load Factor'!T19*'Aglis Load Factor'!$AT$2)&gt;1,1,'Aglis Total Tonnage'!T19/('Aglis Load Factor'!T19*'Aglis Load Factor'!$AT$2)),0)</f>
        <v>0.13172952807137367</v>
      </c>
      <c r="AP19" s="44">
        <f>IFERROR(IF('Aglis Total Tonnage'!U19/('Aglis Load Factor'!U19*'Aglis Load Factor'!$AT$2)&gt;1,1,'Aglis Total Tonnage'!U19/('Aglis Load Factor'!U19*'Aglis Load Factor'!$AT$2)),0)</f>
        <v>0.13536183621691156</v>
      </c>
      <c r="AQ19" s="44">
        <f>IFERROR(IF('Aglis Total Tonnage'!V19/('Aglis Load Factor'!V19*'Aglis Load Factor'!$AT$2)&gt;1,1,'Aglis Total Tonnage'!V19/('Aglis Load Factor'!V19*'Aglis Load Factor'!$AT$2)),0)</f>
        <v>0.13899414436244945</v>
      </c>
      <c r="AU19" s="52" t="s">
        <v>32</v>
      </c>
      <c r="AV19" s="45">
        <f t="shared" si="1"/>
        <v>0</v>
      </c>
      <c r="AW19" s="45">
        <f t="shared" si="2"/>
        <v>0</v>
      </c>
      <c r="AX19" s="45">
        <f t="shared" si="3"/>
        <v>0</v>
      </c>
      <c r="AY19" s="45">
        <f t="shared" si="4"/>
        <v>0</v>
      </c>
      <c r="AZ19" s="45">
        <f t="shared" si="5"/>
        <v>0</v>
      </c>
      <c r="BA19" s="45">
        <f t="shared" si="6"/>
        <v>0</v>
      </c>
      <c r="BB19" s="45">
        <f t="shared" si="7"/>
        <v>0</v>
      </c>
      <c r="BC19" s="45">
        <f t="shared" si="8"/>
        <v>0</v>
      </c>
      <c r="BD19" s="45">
        <f t="shared" si="9"/>
        <v>0</v>
      </c>
      <c r="BE19" s="45">
        <f t="shared" si="10"/>
        <v>0</v>
      </c>
      <c r="BF19" s="45">
        <f t="shared" si="11"/>
        <v>0</v>
      </c>
      <c r="BG19" s="45">
        <f t="shared" si="12"/>
        <v>0</v>
      </c>
      <c r="BH19" s="45">
        <f t="shared" si="13"/>
        <v>2.7384963565692702</v>
      </c>
      <c r="BI19" s="45">
        <f t="shared" si="14"/>
        <v>2.9193888188618504</v>
      </c>
      <c r="BJ19" s="45">
        <f t="shared" si="15"/>
        <v>3.1018506200407154</v>
      </c>
      <c r="BK19" s="45">
        <f t="shared" si="16"/>
        <v>3.2843124212195818</v>
      </c>
      <c r="BL19" s="45">
        <f t="shared" si="17"/>
        <v>3.4586249379975662</v>
      </c>
      <c r="BM19" s="45">
        <f t="shared" si="18"/>
        <v>3.5566972579270892</v>
      </c>
      <c r="BN19" s="45">
        <f t="shared" si="19"/>
        <v>3.6547695778566123</v>
      </c>
      <c r="BO19" s="45">
        <f t="shared" si="20"/>
        <v>3.7528418977861349</v>
      </c>
    </row>
    <row r="20" spans="1:67" ht="15" thickBot="1">
      <c r="A20" s="109"/>
      <c r="B20" s="53" t="s">
        <v>29</v>
      </c>
      <c r="C20" s="18">
        <f>'Aglis Market Share'!C22*'Total Tonnage'!E20</f>
        <v>0</v>
      </c>
      <c r="D20" s="18">
        <f>'Aglis Market Share'!D22*'Total Tonnage'!F20</f>
        <v>0</v>
      </c>
      <c r="E20" s="18">
        <f>'Aglis Market Share'!E22*'Total Tonnage'!G20</f>
        <v>0</v>
      </c>
      <c r="F20" s="18">
        <f>'Aglis Market Share'!F22*'Total Tonnage'!H20</f>
        <v>0</v>
      </c>
      <c r="G20" s="18">
        <f>'Aglis Market Share'!G22*'Total Tonnage'!I20</f>
        <v>0</v>
      </c>
      <c r="H20" s="18">
        <f>'Aglis Market Share'!H22*'Total Tonnage'!J20</f>
        <v>0</v>
      </c>
      <c r="I20" s="18">
        <f>'Aglis Market Share'!I22*'Total Tonnage'!K20</f>
        <v>0</v>
      </c>
      <c r="J20" s="18">
        <f>'Aglis Market Share'!J22*'Total Tonnage'!L20</f>
        <v>0</v>
      </c>
      <c r="K20" s="18">
        <f>'Aglis Market Share'!K22*'Total Tonnage'!M20</f>
        <v>0</v>
      </c>
      <c r="L20" s="18">
        <f>'Aglis Market Share'!L22*'Total Tonnage'!N20</f>
        <v>0</v>
      </c>
      <c r="M20" s="18">
        <f>'Aglis Market Share'!M22*'Total Tonnage'!O20</f>
        <v>4.0736632561990831</v>
      </c>
      <c r="N20" s="18">
        <f>'Aglis Market Share'!N22*'Total Tonnage'!P20</f>
        <v>4.1299974066737457</v>
      </c>
      <c r="O20" s="18">
        <v>1</v>
      </c>
      <c r="P20" s="18">
        <v>1</v>
      </c>
      <c r="Q20" s="18">
        <v>1</v>
      </c>
      <c r="R20" s="18">
        <v>1</v>
      </c>
      <c r="S20" s="18">
        <v>1</v>
      </c>
      <c r="T20" s="18">
        <v>1</v>
      </c>
      <c r="U20" s="18">
        <v>1</v>
      </c>
      <c r="V20" s="18">
        <v>1</v>
      </c>
      <c r="W20" s="53" t="s">
        <v>29</v>
      </c>
      <c r="X20" s="44">
        <f>IFERROR(IF('Aglis Total Tonnage'!C20/('Aglis Load Factor'!C20*'Aglis Load Factor'!$AT$2)&gt;1,1,'Aglis Total Tonnage'!C20/('Aglis Load Factor'!C20*'Aglis Load Factor'!$AT$2)),0)</f>
        <v>0</v>
      </c>
      <c r="Y20" s="44">
        <f>IFERROR(IF('Aglis Total Tonnage'!D20/('Aglis Load Factor'!D20*'Aglis Load Factor'!$AT$2)&gt;1,1,'Aglis Total Tonnage'!D20/('Aglis Load Factor'!D20*'Aglis Load Factor'!$AT$2)),0)</f>
        <v>0</v>
      </c>
      <c r="Z20" s="44">
        <f>IFERROR(IF('Aglis Total Tonnage'!E20/('Aglis Load Factor'!E20*'Aglis Load Factor'!$AT$2)&gt;1,1,'Aglis Total Tonnage'!E20/('Aglis Load Factor'!E20*'Aglis Load Factor'!$AT$2)),0)</f>
        <v>0</v>
      </c>
      <c r="AA20" s="44">
        <f>IFERROR(IF('Aglis Total Tonnage'!F20/('Aglis Load Factor'!F20*'Aglis Load Factor'!$AT$2)&gt;1,1,'Aglis Total Tonnage'!F20/('Aglis Load Factor'!F20*'Aglis Load Factor'!$AT$2)),0)</f>
        <v>0</v>
      </c>
      <c r="AB20" s="44">
        <f>IFERROR(IF('Aglis Total Tonnage'!G20/('Aglis Load Factor'!G20*'Aglis Load Factor'!$AT$2)&gt;1,1,'Aglis Total Tonnage'!G20/('Aglis Load Factor'!G20*'Aglis Load Factor'!$AT$2)),0)</f>
        <v>0</v>
      </c>
      <c r="AC20" s="44">
        <f>IFERROR(IF('Aglis Total Tonnage'!H20/('Aglis Load Factor'!H20*'Aglis Load Factor'!$AT$2)&gt;1,1,'Aglis Total Tonnage'!H20/('Aglis Load Factor'!H20*'Aglis Load Factor'!$AT$2)),0)</f>
        <v>0</v>
      </c>
      <c r="AD20" s="44">
        <f>IFERROR(IF('Aglis Total Tonnage'!I20/('Aglis Load Factor'!I20*'Aglis Load Factor'!$AT$2)&gt;1,1,'Aglis Total Tonnage'!I20/('Aglis Load Factor'!I20*'Aglis Load Factor'!$AT$2)),0)</f>
        <v>0</v>
      </c>
      <c r="AE20" s="44">
        <f>IFERROR(IF('Aglis Total Tonnage'!J20/('Aglis Load Factor'!J20*'Aglis Load Factor'!$AT$2)&gt;1,1,'Aglis Total Tonnage'!J20/('Aglis Load Factor'!J20*'Aglis Load Factor'!$AT$2)),0)</f>
        <v>0</v>
      </c>
      <c r="AF20" s="44">
        <f>IFERROR(IF('Aglis Total Tonnage'!K20/('Aglis Load Factor'!K20*'Aglis Load Factor'!$AT$2)&gt;1,1,'Aglis Total Tonnage'!K20/('Aglis Load Factor'!K20*'Aglis Load Factor'!$AT$2)),0)</f>
        <v>0</v>
      </c>
      <c r="AG20" s="44">
        <f>IFERROR(IF('Aglis Total Tonnage'!L20/('Aglis Load Factor'!L20*'Aglis Load Factor'!$AT$2)&gt;1,1,'Aglis Total Tonnage'!L20/('Aglis Load Factor'!L20*'Aglis Load Factor'!$AT$2)),0)</f>
        <v>0</v>
      </c>
      <c r="AH20" s="44">
        <f>IFERROR(IF('Aglis Total Tonnage'!M20/('Aglis Load Factor'!M20*'Aglis Load Factor'!$AT$2)&gt;1,1,'Aglis Total Tonnage'!M20/('Aglis Load Factor'!M20*'Aglis Load Factor'!$AT$2)),0)</f>
        <v>0</v>
      </c>
      <c r="AI20" s="44">
        <f>IFERROR(IF('Aglis Total Tonnage'!N20/('Aglis Load Factor'!N20*'Aglis Load Factor'!$AT$2)&gt;1,1,'Aglis Total Tonnage'!N20/('Aglis Load Factor'!N20*'Aglis Load Factor'!$AT$2)),0)</f>
        <v>0</v>
      </c>
      <c r="AJ20" s="44">
        <f>IFERROR(IF('Aglis Total Tonnage'!O20/('Aglis Load Factor'!O20*'Aglis Load Factor'!$AT$2)&gt;1,1,'Aglis Total Tonnage'!O20/('Aglis Load Factor'!O20*'Aglis Load Factor'!$AT$2)),0)</f>
        <v>0.1467035168611022</v>
      </c>
      <c r="AK20" s="44">
        <f>IFERROR(IF('Aglis Total Tonnage'!P20/('Aglis Load Factor'!P20*'Aglis Load Factor'!$AT$2)&gt;1,1,'Aglis Total Tonnage'!P20/('Aglis Load Factor'!P20*'Aglis Load Factor'!$AT$2)),0)</f>
        <v>0.15789786500686229</v>
      </c>
      <c r="AL20" s="44">
        <f>IFERROR(IF('Aglis Total Tonnage'!Q20/('Aglis Load Factor'!Q20*'Aglis Load Factor'!$AT$2)&gt;1,1,'Aglis Total Tonnage'!Q20/('Aglis Load Factor'!Q20*'Aglis Load Factor'!$AT$2)),0)</f>
        <v>0.1691762839359239</v>
      </c>
      <c r="AM20" s="44">
        <f>IFERROR(IF('Aglis Total Tonnage'!R20/('Aglis Load Factor'!R20*'Aglis Load Factor'!$AT$2)&gt;1,1,'Aglis Total Tonnage'!R20/('Aglis Load Factor'!R20*'Aglis Load Factor'!$AT$2)),0)</f>
        <v>0.18045470286498552</v>
      </c>
      <c r="AN20" s="44">
        <f>IFERROR(IF('Aglis Total Tonnage'!S20/('Aglis Load Factor'!S20*'Aglis Load Factor'!$AT$2)&gt;1,1,'Aglis Total Tonnage'!S20/('Aglis Load Factor'!S20*'Aglis Load Factor'!$AT$2)),0)</f>
        <v>0.189713429603346</v>
      </c>
      <c r="AO20" s="44">
        <f>IFERROR(IF('Aglis Total Tonnage'!T20/('Aglis Load Factor'!T20*'Aglis Load Factor'!$AT$2)&gt;1,1,'Aglis Total Tonnage'!T20/('Aglis Load Factor'!T20*'Aglis Load Factor'!$AT$2)),0)</f>
        <v>0.19496215256269475</v>
      </c>
      <c r="AP20" s="44">
        <f>IFERROR(IF('Aglis Total Tonnage'!U20/('Aglis Load Factor'!U20*'Aglis Load Factor'!$AT$2)&gt;1,1,'Aglis Total Tonnage'!U20/('Aglis Load Factor'!U20*'Aglis Load Factor'!$AT$2)),0)</f>
        <v>0.2002108755220435</v>
      </c>
      <c r="AQ20" s="44">
        <f>IFERROR(IF('Aglis Total Tonnage'!V20/('Aglis Load Factor'!V20*'Aglis Load Factor'!$AT$2)&gt;1,1,'Aglis Total Tonnage'!V20/('Aglis Load Factor'!V20*'Aglis Load Factor'!$AT$2)),0)</f>
        <v>0.20545959848139225</v>
      </c>
      <c r="AU20" s="53" t="s">
        <v>29</v>
      </c>
      <c r="AV20" s="45">
        <f t="shared" si="1"/>
        <v>0</v>
      </c>
      <c r="AW20" s="45">
        <f t="shared" si="2"/>
        <v>0</v>
      </c>
      <c r="AX20" s="45">
        <f t="shared" si="3"/>
        <v>0</v>
      </c>
      <c r="AY20" s="45">
        <f t="shared" si="4"/>
        <v>0</v>
      </c>
      <c r="AZ20" s="45">
        <f t="shared" si="5"/>
        <v>0</v>
      </c>
      <c r="BA20" s="45">
        <f t="shared" si="6"/>
        <v>0</v>
      </c>
      <c r="BB20" s="45">
        <f t="shared" si="7"/>
        <v>0</v>
      </c>
      <c r="BC20" s="45">
        <f t="shared" si="8"/>
        <v>0</v>
      </c>
      <c r="BD20" s="45">
        <f t="shared" si="9"/>
        <v>0</v>
      </c>
      <c r="BE20" s="45">
        <f t="shared" si="10"/>
        <v>0</v>
      </c>
      <c r="BF20" s="45">
        <f t="shared" si="11"/>
        <v>0</v>
      </c>
      <c r="BG20" s="45">
        <f t="shared" si="12"/>
        <v>0</v>
      </c>
      <c r="BH20" s="45">
        <f t="shared" si="13"/>
        <v>3.9609949552497592</v>
      </c>
      <c r="BI20" s="45">
        <f t="shared" si="14"/>
        <v>4.2632423551852821</v>
      </c>
      <c r="BJ20" s="45">
        <f t="shared" si="15"/>
        <v>4.5677596662699456</v>
      </c>
      <c r="BK20" s="45">
        <f t="shared" si="16"/>
        <v>4.8722769773546091</v>
      </c>
      <c r="BL20" s="45">
        <f t="shared" si="17"/>
        <v>5.1222625992903419</v>
      </c>
      <c r="BM20" s="45">
        <f t="shared" si="18"/>
        <v>5.2639781191927586</v>
      </c>
      <c r="BN20" s="45">
        <f t="shared" si="19"/>
        <v>5.4056936390951744</v>
      </c>
      <c r="BO20" s="45">
        <f t="shared" si="20"/>
        <v>5.5474091589975911</v>
      </c>
    </row>
    <row r="22" spans="1:67">
      <c r="AU22" s="58" t="s">
        <v>88</v>
      </c>
      <c r="AV22" s="59" t="e">
        <f>AVERAGE(AV3:AV19)</f>
        <v>#REF!</v>
      </c>
      <c r="AW22" s="59" t="e">
        <f t="shared" ref="AW22:BO22" si="21">AVERAGE(AW3:AW19)</f>
        <v>#REF!</v>
      </c>
      <c r="AX22" s="59" t="e">
        <f t="shared" si="21"/>
        <v>#REF!</v>
      </c>
      <c r="AY22" s="59" t="e">
        <f t="shared" si="21"/>
        <v>#REF!</v>
      </c>
      <c r="AZ22" s="59">
        <f t="shared" si="21"/>
        <v>5.3118528526388635</v>
      </c>
      <c r="BA22" s="59">
        <f t="shared" si="21"/>
        <v>5.4977041498507457</v>
      </c>
      <c r="BB22" s="59">
        <f t="shared" si="21"/>
        <v>5.640647097016009</v>
      </c>
      <c r="BC22" s="59">
        <f t="shared" si="21"/>
        <v>5.8055813392045854</v>
      </c>
      <c r="BD22" s="59">
        <f t="shared" si="21"/>
        <v>8.3155063733797334</v>
      </c>
      <c r="BE22" s="59">
        <f t="shared" si="21"/>
        <v>8.4820855726393489</v>
      </c>
      <c r="BF22" s="59">
        <f t="shared" si="21"/>
        <v>8.6450577071562194</v>
      </c>
      <c r="BG22" s="59">
        <f t="shared" si="21"/>
        <v>8.8007393652771775</v>
      </c>
      <c r="BH22" s="59">
        <f>AVERAGE(BH3:BH19)</f>
        <v>10.348750961753341</v>
      </c>
      <c r="BI22" s="59">
        <f t="shared" si="21"/>
        <v>10.531422995821547</v>
      </c>
      <c r="BJ22" s="59">
        <f t="shared" si="21"/>
        <v>10.716108702768798</v>
      </c>
      <c r="BK22" s="59">
        <f t="shared" si="21"/>
        <v>10.904753083984213</v>
      </c>
      <c r="BL22" s="59">
        <f t="shared" si="21"/>
        <v>11.114955144695037</v>
      </c>
      <c r="BM22" s="59">
        <f t="shared" si="21"/>
        <v>11.302748977852053</v>
      </c>
      <c r="BN22" s="59">
        <f t="shared" si="21"/>
        <v>11.496437003953979</v>
      </c>
      <c r="BO22" s="59">
        <f t="shared" si="21"/>
        <v>11.663351597478304</v>
      </c>
    </row>
    <row r="23" spans="1:67">
      <c r="T23" s="56"/>
      <c r="U23" s="56"/>
      <c r="V23" s="56"/>
      <c r="W23" s="58" t="s">
        <v>88</v>
      </c>
      <c r="X23" s="58">
        <f>AVERAGE(X4:X20)</f>
        <v>0.12274074074074072</v>
      </c>
      <c r="Y23" s="58">
        <f t="shared" ref="Y23:AQ23" si="22">AVERAGE(Y4:Y20)</f>
        <v>0.12382188816267244</v>
      </c>
      <c r="Z23" s="58">
        <f t="shared" si="22"/>
        <v>0.1265762265795207</v>
      </c>
      <c r="AA23" s="58">
        <f t="shared" si="22"/>
        <v>0.12930330573710963</v>
      </c>
      <c r="AB23" s="58">
        <f t="shared" si="22"/>
        <v>0.19455664160100369</v>
      </c>
      <c r="AC23" s="58">
        <f t="shared" si="22"/>
        <v>0.19926137374174874</v>
      </c>
      <c r="AD23" s="58">
        <f t="shared" si="22"/>
        <v>0.2023769077326191</v>
      </c>
      <c r="AE23" s="58">
        <f t="shared" si="22"/>
        <v>0.20630693413176018</v>
      </c>
      <c r="AF23" s="58">
        <f t="shared" si="22"/>
        <v>0.30580306829511006</v>
      </c>
      <c r="AG23" s="58">
        <f t="shared" si="22"/>
        <v>0.30979401903021553</v>
      </c>
      <c r="AH23" s="58">
        <f t="shared" si="22"/>
        <v>0.31365137477484906</v>
      </c>
      <c r="AI23" s="58">
        <f t="shared" si="22"/>
        <v>0.31723871287518951</v>
      </c>
      <c r="AJ23" s="58">
        <f>AVERAGE(AJ4:AJ20)</f>
        <v>0.3897380420589468</v>
      </c>
      <c r="AK23" s="58">
        <f t="shared" si="22"/>
        <v>0.39498351478028654</v>
      </c>
      <c r="AL23" s="58">
        <f t="shared" si="22"/>
        <v>0.40030851331882239</v>
      </c>
      <c r="AM23" s="58">
        <f t="shared" si="22"/>
        <v>0.4057801294228458</v>
      </c>
      <c r="AN23" s="58">
        <f t="shared" si="22"/>
        <v>0.42064596962768191</v>
      </c>
      <c r="AO23" s="58">
        <f t="shared" si="22"/>
        <v>0.42573139595354587</v>
      </c>
      <c r="AP23" s="58">
        <f t="shared" si="22"/>
        <v>0.43103512572181435</v>
      </c>
      <c r="AQ23" s="58">
        <f t="shared" si="22"/>
        <v>0.43534724687609744</v>
      </c>
      <c r="AU23" s="19" t="s">
        <v>89</v>
      </c>
      <c r="AV23" s="167" t="e">
        <f>MAX(AV22:AY22)</f>
        <v>#REF!</v>
      </c>
      <c r="AW23" s="167"/>
      <c r="AX23" s="167"/>
      <c r="AY23" s="167"/>
      <c r="AZ23" s="167">
        <f>MAX(AZ22:BC22)</f>
        <v>5.8055813392045854</v>
      </c>
      <c r="BA23" s="167"/>
      <c r="BB23" s="167"/>
      <c r="BC23" s="167"/>
      <c r="BD23" s="167">
        <f>MAX(BD22:BG22)</f>
        <v>8.8007393652771775</v>
      </c>
      <c r="BE23" s="167"/>
      <c r="BF23" s="167"/>
      <c r="BG23" s="167"/>
      <c r="BH23" s="167">
        <f>MAX(BH22:BK22)</f>
        <v>10.904753083984213</v>
      </c>
      <c r="BI23" s="167"/>
      <c r="BJ23" s="167"/>
      <c r="BK23" s="167"/>
      <c r="BL23" s="167">
        <f>MAX(BL22:BO22)</f>
        <v>11.663351597478304</v>
      </c>
      <c r="BM23" s="167"/>
      <c r="BN23" s="167"/>
      <c r="BO23" s="167"/>
    </row>
    <row r="24" spans="1:67">
      <c r="W24" s="19" t="s">
        <v>89</v>
      </c>
      <c r="X24" s="171">
        <f>MAX(X23:AA23)</f>
        <v>0.12930330573710963</v>
      </c>
      <c r="Y24" s="171"/>
      <c r="Z24" s="171"/>
      <c r="AA24" s="171"/>
      <c r="AB24" s="171">
        <f>MAX(AB23:AE23)</f>
        <v>0.20630693413176018</v>
      </c>
      <c r="AC24" s="171"/>
      <c r="AD24" s="171"/>
      <c r="AE24" s="171"/>
      <c r="AF24" s="171">
        <f>MAX(AF23:AI23)</f>
        <v>0.31723871287518951</v>
      </c>
      <c r="AG24" s="171"/>
      <c r="AH24" s="171"/>
      <c r="AI24" s="171"/>
      <c r="AJ24" s="171">
        <f>MAX(AJ23:AM23)</f>
        <v>0.4057801294228458</v>
      </c>
      <c r="AK24" s="171"/>
      <c r="AL24" s="171"/>
      <c r="AM24" s="171"/>
      <c r="AN24" s="171">
        <f>MAX(AN23:AQ23)</f>
        <v>0.43534724687609744</v>
      </c>
      <c r="AO24" s="171"/>
      <c r="AP24" s="171"/>
      <c r="AQ24" s="171"/>
    </row>
    <row r="25" spans="1:67">
      <c r="AS25" t="s">
        <v>90</v>
      </c>
      <c r="AT25" s="17">
        <v>0.75</v>
      </c>
    </row>
    <row r="26" spans="1:67" ht="15" thickBot="1"/>
    <row r="27" spans="1:67" ht="15" thickBot="1">
      <c r="W27" s="168" t="s">
        <v>85</v>
      </c>
      <c r="X27" s="168"/>
      <c r="Y27" s="168"/>
      <c r="Z27" s="168"/>
      <c r="AA27" s="168"/>
      <c r="AB27" s="168"/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  <c r="AP27" s="168"/>
      <c r="AQ27" s="168"/>
      <c r="AS27" s="162" t="s">
        <v>91</v>
      </c>
      <c r="AT27" s="163"/>
      <c r="AU27" s="163"/>
      <c r="AV27" s="164"/>
      <c r="AW27" s="54" t="s">
        <v>92</v>
      </c>
      <c r="AX27" s="54"/>
      <c r="AZ27" t="s">
        <v>93</v>
      </c>
    </row>
    <row r="28" spans="1:67" ht="15" thickBot="1">
      <c r="W28" s="46"/>
      <c r="X28" s="169">
        <v>2022</v>
      </c>
      <c r="Y28" s="169"/>
      <c r="Z28" s="169"/>
      <c r="AA28" s="169"/>
      <c r="AB28" s="169">
        <v>2023</v>
      </c>
      <c r="AC28" s="169"/>
      <c r="AD28" s="169"/>
      <c r="AE28" s="169"/>
      <c r="AF28" s="169">
        <v>2024</v>
      </c>
      <c r="AG28" s="169"/>
      <c r="AH28" s="169"/>
      <c r="AI28" s="169"/>
      <c r="AJ28" s="169">
        <v>2025</v>
      </c>
      <c r="AK28" s="169"/>
      <c r="AL28" s="169"/>
      <c r="AM28" s="169"/>
      <c r="AN28" s="170">
        <v>2026</v>
      </c>
      <c r="AO28" s="170"/>
      <c r="AP28" s="170"/>
      <c r="AQ28" s="170"/>
      <c r="AS28" s="67" t="s">
        <v>94</v>
      </c>
      <c r="AT28" s="67" t="s">
        <v>65</v>
      </c>
      <c r="AU28" s="68" t="s">
        <v>95</v>
      </c>
      <c r="AV28" s="67" t="s">
        <v>39</v>
      </c>
      <c r="AW28" s="54"/>
      <c r="AX28" s="65" t="s">
        <v>96</v>
      </c>
    </row>
    <row r="29" spans="1:67">
      <c r="W29" s="21" t="s">
        <v>15</v>
      </c>
      <c r="X29" s="161">
        <f>AVERAGE(X4:AA4)</f>
        <v>0.26133259259259256</v>
      </c>
      <c r="Y29" s="117"/>
      <c r="Z29" s="117"/>
      <c r="AA29" s="117"/>
      <c r="AB29" s="161">
        <f t="shared" ref="AB29:AB45" si="23">AVERAGE(AB4:AE4)</f>
        <v>0.31461987416600995</v>
      </c>
      <c r="AC29" s="117"/>
      <c r="AD29" s="117"/>
      <c r="AE29" s="117"/>
      <c r="AF29" s="161">
        <f t="shared" ref="AF29:AF45" si="24">AVERAGE(AF4:AI4)</f>
        <v>0.33872148855426865</v>
      </c>
      <c r="AG29" s="117"/>
      <c r="AH29" s="117"/>
      <c r="AI29" s="117"/>
      <c r="AJ29" s="161">
        <f t="shared" ref="AJ29:AJ45" si="25">AVERAGE(AJ4:AM4)</f>
        <v>0.34943680035469771</v>
      </c>
      <c r="AK29" s="117"/>
      <c r="AL29" s="117"/>
      <c r="AM29" s="117"/>
      <c r="AN29" s="161">
        <f t="shared" ref="AN29:AN45" si="26">AVERAGE(AN4:AQ4)</f>
        <v>0.35647297628979163</v>
      </c>
      <c r="AO29" s="117"/>
      <c r="AP29" s="117"/>
      <c r="AQ29" s="117"/>
      <c r="AS29" s="165">
        <v>1</v>
      </c>
      <c r="AT29" s="47" t="s">
        <v>15</v>
      </c>
      <c r="AU29" s="69">
        <v>1.4582287230038999</v>
      </c>
      <c r="AV29" s="69">
        <v>1.2774809599999999</v>
      </c>
      <c r="AW29" cm="1">
        <f t="array" ref="AW29:AW45">TRANSPOSE('[6]cost rute baru'!$BA$64:$BQ$64)</f>
        <v>0.3749074056519055</v>
      </c>
      <c r="AX29" s="66">
        <f>AW29/AU29</f>
        <v>0.25709780622041883</v>
      </c>
      <c r="AZ29" s="57">
        <f>AF29-AX29</f>
        <v>8.1623682333849812E-2</v>
      </c>
    </row>
    <row r="30" spans="1:67">
      <c r="W30" s="21" t="s">
        <v>17</v>
      </c>
      <c r="X30" s="161">
        <f t="shared" ref="X30:X45" si="27">AVERAGE(X5:AA5)</f>
        <v>0.46406666666666663</v>
      </c>
      <c r="Y30" s="117"/>
      <c r="Z30" s="117"/>
      <c r="AA30" s="117"/>
      <c r="AB30" s="161">
        <f t="shared" si="23"/>
        <v>0.54493100591258792</v>
      </c>
      <c r="AC30" s="117"/>
      <c r="AD30" s="117"/>
      <c r="AE30" s="117"/>
      <c r="AF30" s="161">
        <f t="shared" si="24"/>
        <v>0.59501795728313067</v>
      </c>
      <c r="AG30" s="117"/>
      <c r="AH30" s="117"/>
      <c r="AI30" s="117"/>
      <c r="AJ30" s="161">
        <f t="shared" si="25"/>
        <v>0.60259792314979721</v>
      </c>
      <c r="AK30" s="117"/>
      <c r="AL30" s="117"/>
      <c r="AM30" s="117"/>
      <c r="AN30" s="161">
        <f t="shared" si="26"/>
        <v>0.60452299384609354</v>
      </c>
      <c r="AO30" s="117"/>
      <c r="AP30" s="117"/>
      <c r="AQ30" s="117"/>
      <c r="AS30" s="165"/>
      <c r="AT30" s="47" t="s">
        <v>17</v>
      </c>
      <c r="AU30" s="69">
        <v>0.96121738779182797</v>
      </c>
      <c r="AV30" s="69">
        <v>0.77261799999999992</v>
      </c>
      <c r="AW30">
        <v>0.30447195796969478</v>
      </c>
      <c r="AX30" s="66">
        <f>AW30/AU30</f>
        <v>0.31675660660815536</v>
      </c>
      <c r="AZ30" s="57">
        <f t="shared" ref="AZ30:AZ45" si="28">AF30-AX30</f>
        <v>0.27826135067497532</v>
      </c>
    </row>
    <row r="31" spans="1:67">
      <c r="W31" s="21" t="s">
        <v>14</v>
      </c>
      <c r="X31" s="161">
        <f t="shared" si="27"/>
        <v>0.62419074074074066</v>
      </c>
      <c r="Y31" s="117"/>
      <c r="Z31" s="117"/>
      <c r="AA31" s="117"/>
      <c r="AB31" s="161">
        <f t="shared" si="23"/>
        <v>0.72035352487039173</v>
      </c>
      <c r="AC31" s="117"/>
      <c r="AD31" s="117"/>
      <c r="AE31" s="117"/>
      <c r="AF31" s="161">
        <f t="shared" si="24"/>
        <v>0.7994721665689144</v>
      </c>
      <c r="AG31" s="117"/>
      <c r="AH31" s="117"/>
      <c r="AI31" s="117"/>
      <c r="AJ31" s="161">
        <f t="shared" si="25"/>
        <v>0.8</v>
      </c>
      <c r="AK31" s="117"/>
      <c r="AL31" s="117"/>
      <c r="AM31" s="117"/>
      <c r="AN31" s="161">
        <f t="shared" si="26"/>
        <v>0.8</v>
      </c>
      <c r="AO31" s="117"/>
      <c r="AP31" s="117"/>
      <c r="AQ31" s="117"/>
      <c r="AS31" s="165"/>
      <c r="AT31" s="47" t="s">
        <v>14</v>
      </c>
      <c r="AU31" s="69">
        <v>1.9481255113209477</v>
      </c>
      <c r="AV31" s="69">
        <v>3.2378719799999995</v>
      </c>
      <c r="AW31">
        <v>0.35089161285093562</v>
      </c>
      <c r="AX31" s="66">
        <f t="shared" ref="AX31:AX45" si="29">AW31/AU31</f>
        <v>0.18011755957808373</v>
      </c>
      <c r="AZ31" s="57">
        <f t="shared" si="28"/>
        <v>0.61935460699083067</v>
      </c>
    </row>
    <row r="32" spans="1:67">
      <c r="W32" s="21" t="s">
        <v>16</v>
      </c>
      <c r="X32" s="161">
        <f t="shared" si="27"/>
        <v>0.33978918518518508</v>
      </c>
      <c r="Y32" s="117"/>
      <c r="Z32" s="117"/>
      <c r="AA32" s="117"/>
      <c r="AB32" s="161">
        <f t="shared" si="23"/>
        <v>0.36648161777777771</v>
      </c>
      <c r="AC32" s="117"/>
      <c r="AD32" s="117"/>
      <c r="AE32" s="117"/>
      <c r="AF32" s="161">
        <f t="shared" si="24"/>
        <v>0.38473467946666656</v>
      </c>
      <c r="AG32" s="117"/>
      <c r="AH32" s="117"/>
      <c r="AI32" s="117"/>
      <c r="AJ32" s="161">
        <f t="shared" si="25"/>
        <v>0.41183973206399993</v>
      </c>
      <c r="AK32" s="117"/>
      <c r="AL32" s="117"/>
      <c r="AM32" s="117"/>
      <c r="AN32" s="161">
        <f t="shared" si="26"/>
        <v>0.45650349591551992</v>
      </c>
      <c r="AO32" s="117"/>
      <c r="AP32" s="117"/>
      <c r="AQ32" s="117"/>
      <c r="AS32" s="165"/>
      <c r="AT32" s="47" t="s">
        <v>16</v>
      </c>
      <c r="AU32" s="69">
        <v>1.679914514692185</v>
      </c>
      <c r="AV32" s="69">
        <v>1.3758484599999998</v>
      </c>
      <c r="AW32">
        <v>0.34777970648341427</v>
      </c>
      <c r="AX32" s="66">
        <f t="shared" si="29"/>
        <v>0.20702226419368658</v>
      </c>
      <c r="AZ32" s="57">
        <f t="shared" si="28"/>
        <v>0.17771241527297998</v>
      </c>
    </row>
    <row r="33" spans="23:52">
      <c r="W33" s="21" t="s">
        <v>18</v>
      </c>
      <c r="X33" s="161">
        <f t="shared" si="27"/>
        <v>0.44599999999999995</v>
      </c>
      <c r="Y33" s="117"/>
      <c r="Z33" s="117"/>
      <c r="AA33" s="117"/>
      <c r="AB33" s="161">
        <f t="shared" si="23"/>
        <v>0.49646814986482202</v>
      </c>
      <c r="AC33" s="117"/>
      <c r="AD33" s="117"/>
      <c r="AE33" s="117"/>
      <c r="AF33" s="161">
        <f t="shared" si="24"/>
        <v>0.58459629745283226</v>
      </c>
      <c r="AG33" s="117"/>
      <c r="AH33" s="117"/>
      <c r="AI33" s="117"/>
      <c r="AJ33" s="161">
        <f t="shared" si="25"/>
        <v>0.68148643444611201</v>
      </c>
      <c r="AK33" s="117"/>
      <c r="AL33" s="117"/>
      <c r="AM33" s="117"/>
      <c r="AN33" s="161">
        <f t="shared" si="26"/>
        <v>0.78356930293042604</v>
      </c>
      <c r="AO33" s="117"/>
      <c r="AP33" s="117"/>
      <c r="AQ33" s="117"/>
      <c r="AS33" s="165"/>
      <c r="AT33" s="47" t="s">
        <v>18</v>
      </c>
      <c r="AU33" s="69">
        <v>1.8710397746052991</v>
      </c>
      <c r="AV33" s="69">
        <v>1.0818592399999998</v>
      </c>
      <c r="AW33">
        <v>0.23769123572346759</v>
      </c>
      <c r="AX33" s="66">
        <f t="shared" si="29"/>
        <v>0.12703697641789</v>
      </c>
      <c r="AZ33" s="57">
        <f t="shared" si="28"/>
        <v>0.45755932103494223</v>
      </c>
    </row>
    <row r="34" spans="23:52">
      <c r="W34" s="55" t="s">
        <v>20</v>
      </c>
      <c r="X34" s="161">
        <f t="shared" si="27"/>
        <v>0</v>
      </c>
      <c r="Y34" s="117"/>
      <c r="Z34" s="117"/>
      <c r="AA34" s="117"/>
      <c r="AB34" s="161">
        <f t="shared" si="23"/>
        <v>0.19244242424242425</v>
      </c>
      <c r="AC34" s="117"/>
      <c r="AD34" s="117"/>
      <c r="AE34" s="117"/>
      <c r="AF34" s="161">
        <f t="shared" si="24"/>
        <v>0.21489515969603154</v>
      </c>
      <c r="AG34" s="117"/>
      <c r="AH34" s="117"/>
      <c r="AI34" s="117"/>
      <c r="AJ34" s="161">
        <f t="shared" si="25"/>
        <v>0.2392429099928812</v>
      </c>
      <c r="AK34" s="117"/>
      <c r="AL34" s="117"/>
      <c r="AM34" s="117"/>
      <c r="AN34" s="161">
        <f t="shared" si="26"/>
        <v>0.2656229130052602</v>
      </c>
      <c r="AO34" s="117"/>
      <c r="AP34" s="117"/>
      <c r="AQ34" s="117"/>
      <c r="AS34" s="165">
        <v>2</v>
      </c>
      <c r="AT34" s="48" t="s">
        <v>20</v>
      </c>
      <c r="AU34" s="69">
        <v>1.5238030881751681</v>
      </c>
      <c r="AV34" s="69">
        <v>5.6842762027883982</v>
      </c>
      <c r="AW34">
        <v>0.52297627909783673</v>
      </c>
      <c r="AX34" s="66">
        <f t="shared" si="29"/>
        <v>0.34320463264326856</v>
      </c>
      <c r="AZ34" s="57">
        <f t="shared" si="28"/>
        <v>-0.12830947294723702</v>
      </c>
    </row>
    <row r="35" spans="23:52">
      <c r="W35" s="55" t="s">
        <v>19</v>
      </c>
      <c r="X35" s="161">
        <f t="shared" si="27"/>
        <v>0</v>
      </c>
      <c r="Y35" s="117"/>
      <c r="Z35" s="117"/>
      <c r="AA35" s="117"/>
      <c r="AB35" s="161">
        <f t="shared" si="23"/>
        <v>0.31383703703703703</v>
      </c>
      <c r="AC35" s="117"/>
      <c r="AD35" s="117"/>
      <c r="AE35" s="117"/>
      <c r="AF35" s="161">
        <f t="shared" si="24"/>
        <v>0.356616383625731</v>
      </c>
      <c r="AG35" s="117"/>
      <c r="AH35" s="117"/>
      <c r="AI35" s="117"/>
      <c r="AJ35" s="161">
        <f t="shared" si="25"/>
        <v>0.40357818748116436</v>
      </c>
      <c r="AK35" s="117"/>
      <c r="AL35" s="117"/>
      <c r="AM35" s="117"/>
      <c r="AN35" s="161">
        <f t="shared" si="26"/>
        <v>0.45505077273596106</v>
      </c>
      <c r="AO35" s="117"/>
      <c r="AP35" s="117"/>
      <c r="AQ35" s="117"/>
      <c r="AS35" s="165"/>
      <c r="AT35" s="48" t="s">
        <v>19</v>
      </c>
      <c r="AU35" s="69">
        <v>2.2320168177050714</v>
      </c>
      <c r="AV35" s="69">
        <v>4.9613172869820001</v>
      </c>
      <c r="AW35">
        <v>0.40837096182847304</v>
      </c>
      <c r="AX35" s="66">
        <f t="shared" si="29"/>
        <v>0.18296052188726533</v>
      </c>
      <c r="AZ35" s="57">
        <f t="shared" si="28"/>
        <v>0.17365586173846567</v>
      </c>
    </row>
    <row r="36" spans="23:52">
      <c r="W36" s="55" t="s">
        <v>21</v>
      </c>
      <c r="X36" s="161">
        <f t="shared" si="27"/>
        <v>0</v>
      </c>
      <c r="Y36" s="117"/>
      <c r="Z36" s="117"/>
      <c r="AA36" s="117"/>
      <c r="AB36" s="161">
        <f t="shared" si="23"/>
        <v>0.3382992592592593</v>
      </c>
      <c r="AC36" s="117"/>
      <c r="AD36" s="117"/>
      <c r="AE36" s="117"/>
      <c r="AF36" s="161">
        <f t="shared" si="24"/>
        <v>0.37051052844231802</v>
      </c>
      <c r="AG36" s="117"/>
      <c r="AH36" s="117"/>
      <c r="AI36" s="117"/>
      <c r="AJ36" s="161">
        <f t="shared" si="25"/>
        <v>0.40438469013110084</v>
      </c>
      <c r="AK36" s="117"/>
      <c r="AL36" s="117"/>
      <c r="AM36" s="117"/>
      <c r="AN36" s="161">
        <f t="shared" si="26"/>
        <v>0.43999360936902665</v>
      </c>
      <c r="AO36" s="117"/>
      <c r="AP36" s="117"/>
      <c r="AQ36" s="117"/>
      <c r="AS36" s="165"/>
      <c r="AT36" s="48" t="s">
        <v>21</v>
      </c>
      <c r="AU36" s="69">
        <v>1.2851659122418269</v>
      </c>
      <c r="AV36" s="69">
        <v>7.1041020624755982</v>
      </c>
      <c r="AW36">
        <v>0.45202194801548851</v>
      </c>
      <c r="AX36" s="66">
        <f t="shared" si="29"/>
        <v>0.35172264040756207</v>
      </c>
      <c r="AZ36" s="57">
        <f t="shared" si="28"/>
        <v>1.8787888034755951E-2</v>
      </c>
    </row>
    <row r="37" spans="23:52">
      <c r="W37" s="62" t="s">
        <v>22</v>
      </c>
      <c r="X37" s="161">
        <f t="shared" si="27"/>
        <v>0</v>
      </c>
      <c r="Y37" s="117"/>
      <c r="Z37" s="117"/>
      <c r="AA37" s="117"/>
      <c r="AB37" s="161">
        <f t="shared" si="23"/>
        <v>0.1232</v>
      </c>
      <c r="AC37" s="117"/>
      <c r="AD37" s="117"/>
      <c r="AE37" s="117"/>
      <c r="AF37" s="161">
        <f t="shared" si="24"/>
        <v>0.13909205392486965</v>
      </c>
      <c r="AG37" s="117"/>
      <c r="AH37" s="117"/>
      <c r="AI37" s="117"/>
      <c r="AJ37" s="161">
        <f t="shared" si="25"/>
        <v>0.15635949303317845</v>
      </c>
      <c r="AK37" s="117"/>
      <c r="AL37" s="117"/>
      <c r="AM37" s="117"/>
      <c r="AN37" s="161">
        <f t="shared" si="26"/>
        <v>0.1751029848721774</v>
      </c>
      <c r="AO37" s="117"/>
      <c r="AP37" s="117"/>
      <c r="AQ37" s="117"/>
      <c r="AS37" s="165"/>
      <c r="AT37" s="49" t="s">
        <v>22</v>
      </c>
      <c r="AU37" s="69">
        <v>1.8061610944669908</v>
      </c>
      <c r="AV37" s="69">
        <v>5.693973667199999</v>
      </c>
      <c r="AW37">
        <v>0.4852194813210205</v>
      </c>
      <c r="AX37" s="66">
        <f t="shared" si="29"/>
        <v>0.2686468459582293</v>
      </c>
      <c r="AZ37" s="57">
        <f t="shared" si="28"/>
        <v>-0.12955479203335965</v>
      </c>
    </row>
    <row r="38" spans="23:52">
      <c r="W38" s="63" t="s">
        <v>24</v>
      </c>
      <c r="X38" s="161">
        <f t="shared" si="27"/>
        <v>0</v>
      </c>
      <c r="Y38" s="117"/>
      <c r="Z38" s="117"/>
      <c r="AA38" s="117"/>
      <c r="AB38" s="161">
        <f t="shared" si="23"/>
        <v>0</v>
      </c>
      <c r="AC38" s="117"/>
      <c r="AD38" s="117"/>
      <c r="AE38" s="117"/>
      <c r="AF38" s="161">
        <f t="shared" si="24"/>
        <v>0.17245527995755117</v>
      </c>
      <c r="AG38" s="117"/>
      <c r="AH38" s="117"/>
      <c r="AI38" s="117"/>
      <c r="AJ38" s="161">
        <f t="shared" si="25"/>
        <v>0.19148733056701822</v>
      </c>
      <c r="AK38" s="117"/>
      <c r="AL38" s="117"/>
      <c r="AM38" s="117"/>
      <c r="AN38" s="161">
        <f t="shared" si="26"/>
        <v>0.21129452908888091</v>
      </c>
      <c r="AO38" s="117"/>
      <c r="AP38" s="117"/>
      <c r="AQ38" s="117"/>
      <c r="AS38" s="165">
        <v>3</v>
      </c>
      <c r="AT38" s="50" t="s">
        <v>24</v>
      </c>
      <c r="AU38" s="69">
        <v>3.572031375960401</v>
      </c>
      <c r="AV38" s="69">
        <v>5.6401890999999997</v>
      </c>
      <c r="AW38">
        <v>0.79652526346375541</v>
      </c>
      <c r="AX38" s="66">
        <f t="shared" si="29"/>
        <v>0.22298943643785776</v>
      </c>
      <c r="AZ38" s="57">
        <f t="shared" si="28"/>
        <v>-5.0534156480306597E-2</v>
      </c>
    </row>
    <row r="39" spans="23:52">
      <c r="W39" s="63" t="s">
        <v>25</v>
      </c>
      <c r="X39" s="161">
        <f t="shared" si="27"/>
        <v>0</v>
      </c>
      <c r="Y39" s="117"/>
      <c r="Z39" s="117"/>
      <c r="AA39" s="117"/>
      <c r="AB39" s="161">
        <f t="shared" si="23"/>
        <v>0</v>
      </c>
      <c r="AC39" s="117"/>
      <c r="AD39" s="117"/>
      <c r="AE39" s="117"/>
      <c r="AF39" s="161">
        <f t="shared" si="24"/>
        <v>0.61631365108148151</v>
      </c>
      <c r="AG39" s="117"/>
      <c r="AH39" s="117"/>
      <c r="AI39" s="117"/>
      <c r="AJ39" s="161">
        <f t="shared" si="25"/>
        <v>0.64874702779259241</v>
      </c>
      <c r="AK39" s="117"/>
      <c r="AL39" s="117"/>
      <c r="AM39" s="117"/>
      <c r="AN39" s="161">
        <f t="shared" si="26"/>
        <v>0.68078293665185174</v>
      </c>
      <c r="AO39" s="117"/>
      <c r="AP39" s="117"/>
      <c r="AQ39" s="117"/>
      <c r="AS39" s="165"/>
      <c r="AT39" s="50" t="s">
        <v>25</v>
      </c>
      <c r="AU39" s="69">
        <v>1.02</v>
      </c>
      <c r="AV39" s="69">
        <v>1.0178909999999999</v>
      </c>
      <c r="AW39">
        <v>0.23137366773730914</v>
      </c>
      <c r="AX39" s="66">
        <f t="shared" si="29"/>
        <v>0.22683692915422463</v>
      </c>
      <c r="AZ39" s="57">
        <f t="shared" si="28"/>
        <v>0.38947672192725691</v>
      </c>
    </row>
    <row r="40" spans="23:52">
      <c r="W40" s="63" t="s">
        <v>26</v>
      </c>
      <c r="X40" s="161">
        <f t="shared" si="27"/>
        <v>0</v>
      </c>
      <c r="Y40" s="117"/>
      <c r="Z40" s="117"/>
      <c r="AA40" s="117"/>
      <c r="AB40" s="161">
        <f t="shared" si="23"/>
        <v>0</v>
      </c>
      <c r="AC40" s="117"/>
      <c r="AD40" s="117"/>
      <c r="AE40" s="117"/>
      <c r="AF40" s="161">
        <f t="shared" si="24"/>
        <v>0.62600694003544077</v>
      </c>
      <c r="AG40" s="117"/>
      <c r="AH40" s="117"/>
      <c r="AI40" s="117"/>
      <c r="AJ40" s="161">
        <f t="shared" si="25"/>
        <v>0.67660286956403515</v>
      </c>
      <c r="AK40" s="117"/>
      <c r="AL40" s="117"/>
      <c r="AM40" s="117"/>
      <c r="AN40" s="161">
        <f t="shared" si="26"/>
        <v>0.72890896081736423</v>
      </c>
      <c r="AO40" s="117"/>
      <c r="AP40" s="117"/>
      <c r="AQ40" s="117"/>
      <c r="AS40" s="165"/>
      <c r="AT40" s="50" t="s">
        <v>26</v>
      </c>
      <c r="AU40" s="69">
        <v>1.52</v>
      </c>
      <c r="AV40" s="69">
        <v>1.5232776999999997</v>
      </c>
      <c r="AW40">
        <v>0.35541591311963078</v>
      </c>
      <c r="AX40" s="66">
        <f t="shared" si="29"/>
        <v>0.23382625863133605</v>
      </c>
      <c r="AZ40" s="57">
        <f t="shared" si="28"/>
        <v>0.39218068140410473</v>
      </c>
    </row>
    <row r="41" spans="23:52">
      <c r="W41" s="63" t="s">
        <v>28</v>
      </c>
      <c r="X41" s="161">
        <f t="shared" si="27"/>
        <v>0</v>
      </c>
      <c r="Y41" s="117"/>
      <c r="Z41" s="117"/>
      <c r="AA41" s="117"/>
      <c r="AB41" s="161">
        <f t="shared" si="23"/>
        <v>0</v>
      </c>
      <c r="AC41" s="117"/>
      <c r="AD41" s="117"/>
      <c r="AE41" s="117"/>
      <c r="AF41" s="161">
        <f t="shared" si="24"/>
        <v>9.91379075560615E-2</v>
      </c>
      <c r="AG41" s="117"/>
      <c r="AH41" s="117"/>
      <c r="AI41" s="117"/>
      <c r="AJ41" s="161">
        <f t="shared" si="25"/>
        <v>0.11068981857235001</v>
      </c>
      <c r="AK41" s="117"/>
      <c r="AL41" s="117"/>
      <c r="AM41" s="117"/>
      <c r="AN41" s="161">
        <f t="shared" si="26"/>
        <v>0.12321188150603729</v>
      </c>
      <c r="AO41" s="117"/>
      <c r="AP41" s="117"/>
      <c r="AQ41" s="117"/>
      <c r="AS41" s="165"/>
      <c r="AT41" s="50" t="s">
        <v>28</v>
      </c>
      <c r="AU41" s="69">
        <v>2.4700000000000002</v>
      </c>
      <c r="AV41" s="69">
        <v>2.4687432</v>
      </c>
      <c r="AW41">
        <v>0.40546076379215307</v>
      </c>
      <c r="AX41" s="66">
        <f t="shared" si="29"/>
        <v>0.16415415538143849</v>
      </c>
      <c r="AZ41" s="57">
        <f t="shared" si="28"/>
        <v>-6.5016247825376988E-2</v>
      </c>
    </row>
    <row r="42" spans="23:52">
      <c r="W42" s="64" t="s">
        <v>30</v>
      </c>
      <c r="X42" s="161">
        <f t="shared" si="27"/>
        <v>0</v>
      </c>
      <c r="Y42" s="117"/>
      <c r="Z42" s="117"/>
      <c r="AA42" s="117"/>
      <c r="AB42" s="161">
        <f t="shared" si="23"/>
        <v>0</v>
      </c>
      <c r="AC42" s="117"/>
      <c r="AD42" s="117"/>
      <c r="AE42" s="117"/>
      <c r="AF42" s="161">
        <f t="shared" si="24"/>
        <v>0</v>
      </c>
      <c r="AG42" s="117"/>
      <c r="AH42" s="117"/>
      <c r="AI42" s="117"/>
      <c r="AJ42" s="161">
        <f t="shared" si="25"/>
        <v>0.5647576498740503</v>
      </c>
      <c r="AK42" s="117"/>
      <c r="AL42" s="117"/>
      <c r="AM42" s="117"/>
      <c r="AN42" s="161">
        <f t="shared" si="26"/>
        <v>0.60215938278565739</v>
      </c>
      <c r="AO42" s="117"/>
      <c r="AP42" s="117"/>
      <c r="AQ42" s="117"/>
      <c r="AS42" s="165">
        <v>4</v>
      </c>
      <c r="AT42" s="51" t="s">
        <v>30</v>
      </c>
      <c r="AU42" s="69">
        <v>3.2275301498956601</v>
      </c>
      <c r="AV42" s="69">
        <v>11.666131248505998</v>
      </c>
      <c r="AW42">
        <v>0.5988302434632321</v>
      </c>
      <c r="AX42" s="66">
        <f t="shared" si="29"/>
        <v>0.18553823377377004</v>
      </c>
      <c r="AZ42" s="57">
        <f t="shared" si="28"/>
        <v>-0.18553823377377004</v>
      </c>
    </row>
    <row r="43" spans="23:52">
      <c r="W43" s="28" t="s">
        <v>31</v>
      </c>
      <c r="X43" s="161">
        <f t="shared" si="27"/>
        <v>0</v>
      </c>
      <c r="Y43" s="117"/>
      <c r="Z43" s="117"/>
      <c r="AA43" s="117"/>
      <c r="AB43" s="161">
        <f t="shared" si="23"/>
        <v>0</v>
      </c>
      <c r="AC43" s="117"/>
      <c r="AD43" s="117"/>
      <c r="AE43" s="117"/>
      <c r="AF43" s="161">
        <f t="shared" si="24"/>
        <v>0</v>
      </c>
      <c r="AG43" s="117"/>
      <c r="AH43" s="117"/>
      <c r="AI43" s="117"/>
      <c r="AJ43" s="161">
        <f t="shared" si="25"/>
        <v>0.24465542405927077</v>
      </c>
      <c r="AK43" s="117"/>
      <c r="AL43" s="117"/>
      <c r="AM43" s="117"/>
      <c r="AN43" s="161">
        <f t="shared" si="26"/>
        <v>0.26489995126078436</v>
      </c>
      <c r="AO43" s="117"/>
      <c r="AP43" s="117"/>
      <c r="AQ43" s="117"/>
      <c r="AS43" s="165"/>
      <c r="AT43" s="52" t="s">
        <v>31</v>
      </c>
      <c r="AU43" s="69">
        <v>1.4332479184227369</v>
      </c>
      <c r="AV43" s="69">
        <v>6.0926104038799993</v>
      </c>
      <c r="AW43">
        <v>0.33156028540080457</v>
      </c>
      <c r="AX43" s="66">
        <f t="shared" si="29"/>
        <v>0.23133491501294529</v>
      </c>
      <c r="AZ43" s="57">
        <f t="shared" si="28"/>
        <v>-0.23133491501294529</v>
      </c>
    </row>
    <row r="44" spans="23:52">
      <c r="W44" s="28" t="s">
        <v>32</v>
      </c>
      <c r="X44" s="161">
        <f t="shared" si="27"/>
        <v>0</v>
      </c>
      <c r="Y44" s="117"/>
      <c r="Z44" s="117"/>
      <c r="AA44" s="117"/>
      <c r="AB44" s="161">
        <f t="shared" si="23"/>
        <v>0</v>
      </c>
      <c r="AC44" s="117"/>
      <c r="AD44" s="117"/>
      <c r="AE44" s="117"/>
      <c r="AF44" s="161">
        <f t="shared" si="24"/>
        <v>0</v>
      </c>
      <c r="AG44" s="117"/>
      <c r="AH44" s="117"/>
      <c r="AI44" s="117"/>
      <c r="AJ44" s="161">
        <f t="shared" si="25"/>
        <v>0.11151896496936498</v>
      </c>
      <c r="AK44" s="117"/>
      <c r="AL44" s="117"/>
      <c r="AM44" s="117"/>
      <c r="AN44" s="161">
        <f t="shared" si="26"/>
        <v>0.13354568214414261</v>
      </c>
      <c r="AO44" s="117"/>
      <c r="AP44" s="117"/>
      <c r="AQ44" s="117"/>
      <c r="AS44" s="165"/>
      <c r="AT44" s="52" t="s">
        <v>32</v>
      </c>
      <c r="AU44" s="69">
        <v>2.5</v>
      </c>
      <c r="AV44" s="69">
        <v>2.5030178317536</v>
      </c>
      <c r="AW44">
        <v>0.60668176636287163</v>
      </c>
      <c r="AX44" s="66">
        <f t="shared" si="29"/>
        <v>0.24267270654514866</v>
      </c>
      <c r="AZ44" s="57">
        <f t="shared" si="28"/>
        <v>-0.24267270654514866</v>
      </c>
    </row>
    <row r="45" spans="23:52" ht="15" thickBot="1">
      <c r="W45" s="28" t="s">
        <v>29</v>
      </c>
      <c r="X45" s="161">
        <f t="shared" si="27"/>
        <v>0</v>
      </c>
      <c r="Y45" s="117"/>
      <c r="Z45" s="117"/>
      <c r="AA45" s="117"/>
      <c r="AB45" s="161">
        <f t="shared" si="23"/>
        <v>0</v>
      </c>
      <c r="AC45" s="117"/>
      <c r="AD45" s="117"/>
      <c r="AE45" s="117"/>
      <c r="AF45" s="161">
        <f t="shared" si="24"/>
        <v>0</v>
      </c>
      <c r="AG45" s="117"/>
      <c r="AH45" s="117"/>
      <c r="AI45" s="117"/>
      <c r="AJ45" s="161">
        <f t="shared" si="25"/>
        <v>0.16355809216721848</v>
      </c>
      <c r="AK45" s="117"/>
      <c r="AL45" s="117"/>
      <c r="AM45" s="117"/>
      <c r="AN45" s="161">
        <f t="shared" si="26"/>
        <v>0.19758651404236913</v>
      </c>
      <c r="AO45" s="117"/>
      <c r="AP45" s="117"/>
      <c r="AQ45" s="117"/>
      <c r="AS45" s="166"/>
      <c r="AT45" s="53" t="s">
        <v>29</v>
      </c>
      <c r="AU45" s="69">
        <v>2.6</v>
      </c>
      <c r="AV45" s="69">
        <v>2.6009211937967995</v>
      </c>
      <c r="AW45">
        <v>0.34594782430787019</v>
      </c>
      <c r="AX45" s="66">
        <f t="shared" si="29"/>
        <v>0.13305685550302698</v>
      </c>
      <c r="AZ45" s="57">
        <f t="shared" si="28"/>
        <v>-0.13305685550302698</v>
      </c>
    </row>
  </sheetData>
  <mergeCells count="129">
    <mergeCell ref="AZ2:BC2"/>
    <mergeCell ref="BD2:BG2"/>
    <mergeCell ref="BH2:BK2"/>
    <mergeCell ref="BL2:BO2"/>
    <mergeCell ref="AU1:BO1"/>
    <mergeCell ref="AU2:AU3"/>
    <mergeCell ref="W1:AQ1"/>
    <mergeCell ref="AV2:AY2"/>
    <mergeCell ref="AB2:AE2"/>
    <mergeCell ref="AF2:AI2"/>
    <mergeCell ref="AJ2:AM2"/>
    <mergeCell ref="AN2:AQ2"/>
    <mergeCell ref="X2:AA2"/>
    <mergeCell ref="A4:A8"/>
    <mergeCell ref="A9:A12"/>
    <mergeCell ref="A13:A16"/>
    <mergeCell ref="A17:A20"/>
    <mergeCell ref="C1:V1"/>
    <mergeCell ref="C2:F2"/>
    <mergeCell ref="G2:J2"/>
    <mergeCell ref="K2:N2"/>
    <mergeCell ref="O2:R2"/>
    <mergeCell ref="S2:V2"/>
    <mergeCell ref="BL23:BO23"/>
    <mergeCell ref="W27:AQ27"/>
    <mergeCell ref="X28:AA28"/>
    <mergeCell ref="AB28:AE28"/>
    <mergeCell ref="AF28:AI28"/>
    <mergeCell ref="AJ28:AM28"/>
    <mergeCell ref="AN28:AQ28"/>
    <mergeCell ref="AN24:AQ24"/>
    <mergeCell ref="AV23:AY23"/>
    <mergeCell ref="AZ23:BC23"/>
    <mergeCell ref="BD23:BG23"/>
    <mergeCell ref="BH23:BK23"/>
    <mergeCell ref="X24:AA24"/>
    <mergeCell ref="AB24:AE24"/>
    <mergeCell ref="AF24:AI24"/>
    <mergeCell ref="AJ24:AM24"/>
    <mergeCell ref="X42:AA42"/>
    <mergeCell ref="X43:AA43"/>
    <mergeCell ref="X34:AA34"/>
    <mergeCell ref="X35:AA35"/>
    <mergeCell ref="X36:AA36"/>
    <mergeCell ref="X37:AA37"/>
    <mergeCell ref="X38:AA38"/>
    <mergeCell ref="X29:AA29"/>
    <mergeCell ref="X30:AA30"/>
    <mergeCell ref="X31:AA31"/>
    <mergeCell ref="X32:AA32"/>
    <mergeCell ref="X33:AA33"/>
    <mergeCell ref="AN29:AQ29"/>
    <mergeCell ref="AB30:AE30"/>
    <mergeCell ref="AF30:AI30"/>
    <mergeCell ref="AJ30:AM30"/>
    <mergeCell ref="AN30:AQ30"/>
    <mergeCell ref="X44:AA44"/>
    <mergeCell ref="X45:AA45"/>
    <mergeCell ref="AB29:AE29"/>
    <mergeCell ref="AF29:AI29"/>
    <mergeCell ref="AJ29:AM29"/>
    <mergeCell ref="AB31:AE31"/>
    <mergeCell ref="AF31:AI31"/>
    <mergeCell ref="AJ31:AM31"/>
    <mergeCell ref="AB33:AE33"/>
    <mergeCell ref="AF33:AI33"/>
    <mergeCell ref="AJ33:AM33"/>
    <mergeCell ref="AB35:AE35"/>
    <mergeCell ref="AF35:AI35"/>
    <mergeCell ref="AJ35:AM35"/>
    <mergeCell ref="AB37:AE37"/>
    <mergeCell ref="AF37:AI37"/>
    <mergeCell ref="X39:AA39"/>
    <mergeCell ref="X40:AA40"/>
    <mergeCell ref="X41:AA41"/>
    <mergeCell ref="AN33:AQ33"/>
    <mergeCell ref="AB34:AE34"/>
    <mergeCell ref="AF34:AI34"/>
    <mergeCell ref="AJ34:AM34"/>
    <mergeCell ref="AN34:AQ34"/>
    <mergeCell ref="AN31:AQ31"/>
    <mergeCell ref="AB32:AE32"/>
    <mergeCell ref="AF32:AI32"/>
    <mergeCell ref="AJ32:AM32"/>
    <mergeCell ref="AN32:AQ32"/>
    <mergeCell ref="AJ37:AM37"/>
    <mergeCell ref="AN37:AQ37"/>
    <mergeCell ref="AB38:AE38"/>
    <mergeCell ref="AF38:AI38"/>
    <mergeCell ref="AJ38:AM38"/>
    <mergeCell ref="AN38:AQ38"/>
    <mergeCell ref="AN35:AQ35"/>
    <mergeCell ref="AB36:AE36"/>
    <mergeCell ref="AF36:AI36"/>
    <mergeCell ref="AJ36:AM36"/>
    <mergeCell ref="AN36:AQ36"/>
    <mergeCell ref="AN42:AQ42"/>
    <mergeCell ref="AB39:AE39"/>
    <mergeCell ref="AF39:AI39"/>
    <mergeCell ref="AJ39:AM39"/>
    <mergeCell ref="AN39:AQ39"/>
    <mergeCell ref="AB40:AE40"/>
    <mergeCell ref="AF40:AI40"/>
    <mergeCell ref="AJ40:AM40"/>
    <mergeCell ref="AN40:AQ40"/>
    <mergeCell ref="AB45:AE45"/>
    <mergeCell ref="AF45:AI45"/>
    <mergeCell ref="AJ45:AM45"/>
    <mergeCell ref="AN45:AQ45"/>
    <mergeCell ref="AS27:AV27"/>
    <mergeCell ref="AS29:AS33"/>
    <mergeCell ref="AS34:AS37"/>
    <mergeCell ref="AS38:AS41"/>
    <mergeCell ref="AS42:AS45"/>
    <mergeCell ref="AB43:AE43"/>
    <mergeCell ref="AF43:AI43"/>
    <mergeCell ref="AJ43:AM43"/>
    <mergeCell ref="AN43:AQ43"/>
    <mergeCell ref="AB44:AE44"/>
    <mergeCell ref="AF44:AI44"/>
    <mergeCell ref="AJ44:AM44"/>
    <mergeCell ref="AN44:AQ44"/>
    <mergeCell ref="AB41:AE41"/>
    <mergeCell ref="AF41:AI41"/>
    <mergeCell ref="AJ41:AM41"/>
    <mergeCell ref="AN41:AQ41"/>
    <mergeCell ref="AB42:AE42"/>
    <mergeCell ref="AF42:AI42"/>
    <mergeCell ref="AJ42:AM42"/>
  </mergeCells>
  <conditionalFormatting sqref="AF29:AI45">
    <cfRule type="cellIs" dxfId="1" priority="3" operator="lessThan">
      <formula>75%</formula>
    </cfRule>
  </conditionalFormatting>
  <conditionalFormatting sqref="AX29:AX4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9:AZ4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BB526-1647-45D0-8AEE-11C633158646}">
  <sheetPr codeName="Sheet6"/>
  <dimension ref="A1:EH70"/>
  <sheetViews>
    <sheetView zoomScale="130" zoomScaleNormal="130" workbookViewId="0">
      <selection activeCell="K23" sqref="K23"/>
    </sheetView>
  </sheetViews>
  <sheetFormatPr defaultRowHeight="14.45"/>
  <cols>
    <col min="3" max="22" width="4.85546875" customWidth="1"/>
    <col min="23" max="23" width="5.85546875" customWidth="1"/>
    <col min="52" max="52" width="10" customWidth="1"/>
  </cols>
  <sheetData>
    <row r="1" spans="1:138">
      <c r="C1" s="113" t="s">
        <v>12</v>
      </c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Y1" s="113" t="s">
        <v>13</v>
      </c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</row>
    <row r="2" spans="1:138">
      <c r="A2" s="117"/>
      <c r="B2" s="117"/>
      <c r="C2" s="115">
        <v>2023</v>
      </c>
      <c r="D2" s="115"/>
      <c r="E2" s="115"/>
      <c r="F2" s="115"/>
      <c r="G2" s="112">
        <v>2024</v>
      </c>
      <c r="H2" s="112"/>
      <c r="I2" s="112"/>
      <c r="J2" s="112"/>
      <c r="K2" s="116">
        <v>2025</v>
      </c>
      <c r="L2" s="116"/>
      <c r="M2" s="116"/>
      <c r="N2" s="116"/>
      <c r="O2" s="112">
        <v>2026</v>
      </c>
      <c r="P2" s="112"/>
      <c r="Q2" s="112"/>
      <c r="R2" s="112"/>
      <c r="S2" s="111">
        <v>2027</v>
      </c>
      <c r="T2" s="111"/>
      <c r="U2" s="111"/>
      <c r="V2" s="111"/>
      <c r="W2" s="112">
        <v>2028</v>
      </c>
      <c r="X2" s="112"/>
      <c r="Y2" s="112"/>
      <c r="Z2" s="112"/>
      <c r="AA2" s="111">
        <v>2029</v>
      </c>
      <c r="AB2" s="111"/>
      <c r="AC2" s="111"/>
      <c r="AD2" s="111"/>
      <c r="AE2" s="112">
        <v>2030</v>
      </c>
      <c r="AF2" s="112"/>
      <c r="AG2" s="112"/>
      <c r="AH2" s="112"/>
      <c r="AI2" s="111">
        <v>2031</v>
      </c>
      <c r="AJ2" s="111"/>
      <c r="AK2" s="111"/>
      <c r="AL2" s="111"/>
      <c r="AM2" s="112">
        <v>2032</v>
      </c>
      <c r="AN2" s="112"/>
      <c r="AO2" s="112"/>
      <c r="AP2" s="112"/>
      <c r="AQ2" s="111"/>
      <c r="AR2" s="111"/>
      <c r="AS2" s="111"/>
      <c r="AT2" s="111"/>
      <c r="AW2" s="117"/>
      <c r="AX2" s="117"/>
      <c r="AY2" s="115">
        <v>2023</v>
      </c>
      <c r="AZ2" s="115"/>
      <c r="BA2" s="115"/>
      <c r="BB2" s="115"/>
      <c r="BC2" s="112">
        <v>2024</v>
      </c>
      <c r="BD2" s="112"/>
      <c r="BE2" s="112"/>
      <c r="BF2" s="112"/>
      <c r="BG2" s="116">
        <v>2025</v>
      </c>
      <c r="BH2" s="116"/>
      <c r="BI2" s="116"/>
      <c r="BJ2" s="116"/>
      <c r="BK2" s="112">
        <v>2026</v>
      </c>
      <c r="BL2" s="112"/>
      <c r="BM2" s="112"/>
      <c r="BN2" s="112"/>
      <c r="BO2" s="111">
        <v>2027</v>
      </c>
      <c r="BP2" s="111"/>
      <c r="BQ2" s="111"/>
      <c r="BR2" s="111"/>
      <c r="BS2" s="112">
        <v>2028</v>
      </c>
      <c r="BT2" s="112"/>
      <c r="BU2" s="112"/>
      <c r="BV2" s="112"/>
      <c r="BW2" s="111">
        <v>2029</v>
      </c>
      <c r="BX2" s="111"/>
      <c r="BY2" s="111"/>
      <c r="BZ2" s="111"/>
      <c r="CA2" s="112">
        <v>2030</v>
      </c>
      <c r="CB2" s="112"/>
      <c r="CC2" s="112"/>
      <c r="CD2" s="112"/>
      <c r="CE2" s="111">
        <v>2031</v>
      </c>
      <c r="CF2" s="111"/>
      <c r="CG2" s="111"/>
      <c r="CH2" s="111"/>
      <c r="CI2" s="112">
        <v>2032</v>
      </c>
      <c r="CJ2" s="112"/>
      <c r="CK2" s="112"/>
      <c r="CL2" s="112"/>
      <c r="CM2" s="111"/>
      <c r="CN2" s="111"/>
      <c r="CO2" s="111"/>
      <c r="CP2" s="111"/>
      <c r="CU2" s="115">
        <v>2023</v>
      </c>
      <c r="CV2" s="115"/>
      <c r="CW2" s="115"/>
      <c r="CX2" s="115"/>
      <c r="CY2" s="112">
        <v>2024</v>
      </c>
      <c r="CZ2" s="112"/>
      <c r="DA2" s="112"/>
      <c r="DB2" s="112"/>
      <c r="DC2" s="116">
        <v>2025</v>
      </c>
      <c r="DD2" s="116"/>
      <c r="DE2" s="116"/>
      <c r="DF2" s="116"/>
      <c r="DG2" s="112">
        <v>2026</v>
      </c>
      <c r="DH2" s="112"/>
      <c r="DI2" s="112"/>
      <c r="DJ2" s="112"/>
      <c r="DK2" s="111">
        <v>2027</v>
      </c>
      <c r="DL2" s="111"/>
      <c r="DM2" s="111"/>
      <c r="DN2" s="111"/>
      <c r="DO2" s="112">
        <v>2028</v>
      </c>
      <c r="DP2" s="112"/>
      <c r="DQ2" s="112"/>
      <c r="DR2" s="112"/>
      <c r="DS2" s="111">
        <v>2029</v>
      </c>
      <c r="DT2" s="111"/>
      <c r="DU2" s="111"/>
      <c r="DV2" s="111"/>
      <c r="DW2" s="112">
        <v>2030</v>
      </c>
      <c r="DX2" s="112"/>
      <c r="DY2" s="112"/>
      <c r="DZ2" s="112"/>
      <c r="EA2" s="111">
        <v>2031</v>
      </c>
      <c r="EB2" s="111"/>
      <c r="EC2" s="111"/>
      <c r="ED2" s="111"/>
      <c r="EE2" s="112">
        <v>2032</v>
      </c>
      <c r="EF2" s="112"/>
      <c r="EG2" s="112"/>
      <c r="EH2" s="112"/>
    </row>
    <row r="3" spans="1:138">
      <c r="A3" s="117"/>
      <c r="B3" s="117"/>
      <c r="C3" s="70">
        <v>1</v>
      </c>
      <c r="D3" s="70">
        <v>2</v>
      </c>
      <c r="E3" s="70">
        <v>3</v>
      </c>
      <c r="F3" s="70">
        <v>4</v>
      </c>
      <c r="G3" s="70">
        <v>1</v>
      </c>
      <c r="H3" s="70">
        <v>2</v>
      </c>
      <c r="I3" s="70">
        <v>3</v>
      </c>
      <c r="J3" s="70">
        <v>4</v>
      </c>
      <c r="K3" s="70">
        <v>1</v>
      </c>
      <c r="L3" s="70">
        <v>2</v>
      </c>
      <c r="M3" s="70">
        <v>3</v>
      </c>
      <c r="N3" s="70">
        <v>4</v>
      </c>
      <c r="O3" s="70">
        <v>1</v>
      </c>
      <c r="P3" s="70">
        <v>2</v>
      </c>
      <c r="Q3" s="70">
        <v>3</v>
      </c>
      <c r="R3" s="70">
        <v>4</v>
      </c>
      <c r="S3" s="70">
        <v>1</v>
      </c>
      <c r="T3" s="70">
        <v>2</v>
      </c>
      <c r="U3" s="70">
        <v>3</v>
      </c>
      <c r="V3" s="70">
        <v>4</v>
      </c>
      <c r="W3" s="70">
        <v>1</v>
      </c>
      <c r="X3" s="70">
        <v>2</v>
      </c>
      <c r="Y3" s="70">
        <v>3</v>
      </c>
      <c r="Z3" s="70">
        <v>4</v>
      </c>
      <c r="AA3" s="70">
        <v>1</v>
      </c>
      <c r="AB3" s="70">
        <v>2</v>
      </c>
      <c r="AC3" s="70">
        <v>3</v>
      </c>
      <c r="AD3" s="70">
        <v>4</v>
      </c>
      <c r="AE3" s="70">
        <v>1</v>
      </c>
      <c r="AF3" s="70">
        <v>2</v>
      </c>
      <c r="AG3" s="70">
        <v>3</v>
      </c>
      <c r="AH3" s="70">
        <v>4</v>
      </c>
      <c r="AI3" s="70">
        <v>1</v>
      </c>
      <c r="AJ3" s="70">
        <v>2</v>
      </c>
      <c r="AK3" s="70">
        <v>3</v>
      </c>
      <c r="AL3" s="70">
        <v>4</v>
      </c>
      <c r="AM3" s="70">
        <v>1</v>
      </c>
      <c r="AN3" s="70">
        <v>2</v>
      </c>
      <c r="AO3" s="70">
        <v>3</v>
      </c>
      <c r="AP3" s="70">
        <v>4</v>
      </c>
      <c r="AQ3" s="70"/>
      <c r="AR3" s="70"/>
      <c r="AS3" s="70"/>
      <c r="AT3" s="70"/>
      <c r="AW3" s="117"/>
      <c r="AX3" s="117"/>
      <c r="AY3" s="70">
        <v>1</v>
      </c>
      <c r="AZ3" s="70">
        <v>2</v>
      </c>
      <c r="BA3" s="70">
        <v>3</v>
      </c>
      <c r="BB3" s="70">
        <v>4</v>
      </c>
      <c r="BC3" s="70">
        <v>1</v>
      </c>
      <c r="BD3" s="70">
        <v>2</v>
      </c>
      <c r="BE3" s="70">
        <v>3</v>
      </c>
      <c r="BF3" s="70">
        <v>4</v>
      </c>
      <c r="BG3" s="70">
        <v>1</v>
      </c>
      <c r="BH3" s="70">
        <v>2</v>
      </c>
      <c r="BI3" s="70">
        <v>3</v>
      </c>
      <c r="BJ3" s="70">
        <v>4</v>
      </c>
      <c r="BK3" s="70">
        <v>1</v>
      </c>
      <c r="BL3" s="70">
        <v>2</v>
      </c>
      <c r="BM3" s="70">
        <v>3</v>
      </c>
      <c r="BN3" s="70">
        <v>4</v>
      </c>
      <c r="BO3" s="70">
        <v>1</v>
      </c>
      <c r="BP3" s="70">
        <v>2</v>
      </c>
      <c r="BQ3" s="70">
        <v>3</v>
      </c>
      <c r="BR3" s="70">
        <v>4</v>
      </c>
      <c r="BS3" s="70">
        <v>1</v>
      </c>
      <c r="BT3" s="70">
        <v>2</v>
      </c>
      <c r="BU3" s="70">
        <v>3</v>
      </c>
      <c r="BV3" s="70">
        <v>4</v>
      </c>
      <c r="BW3" s="70">
        <v>1</v>
      </c>
      <c r="BX3" s="70">
        <v>2</v>
      </c>
      <c r="BY3" s="70">
        <v>3</v>
      </c>
      <c r="BZ3" s="70">
        <v>4</v>
      </c>
      <c r="CA3" s="70">
        <v>1</v>
      </c>
      <c r="CB3" s="70">
        <v>2</v>
      </c>
      <c r="CC3" s="70">
        <v>3</v>
      </c>
      <c r="CD3" s="70">
        <v>4</v>
      </c>
      <c r="CE3" s="70">
        <v>1</v>
      </c>
      <c r="CF3" s="70">
        <v>2</v>
      </c>
      <c r="CG3" s="70">
        <v>3</v>
      </c>
      <c r="CH3" s="70">
        <v>4</v>
      </c>
      <c r="CI3" s="70">
        <v>1</v>
      </c>
      <c r="CJ3" s="70">
        <v>2</v>
      </c>
      <c r="CK3" s="70">
        <v>3</v>
      </c>
      <c r="CL3" s="70">
        <v>4</v>
      </c>
      <c r="CM3" s="70"/>
      <c r="CN3" s="70"/>
      <c r="CO3" s="70"/>
      <c r="CP3" s="70"/>
      <c r="CU3" s="70">
        <v>1</v>
      </c>
      <c r="CV3" s="70">
        <v>2</v>
      </c>
      <c r="CW3" s="70">
        <v>3</v>
      </c>
      <c r="CX3" s="70">
        <v>4</v>
      </c>
      <c r="CY3" s="70">
        <v>1</v>
      </c>
      <c r="CZ3" s="70">
        <v>2</v>
      </c>
      <c r="DA3" s="70">
        <v>3</v>
      </c>
      <c r="DB3" s="70">
        <v>4</v>
      </c>
      <c r="DC3" s="70">
        <v>1</v>
      </c>
      <c r="DD3" s="70">
        <v>2</v>
      </c>
      <c r="DE3" s="70">
        <v>3</v>
      </c>
      <c r="DF3" s="70">
        <v>4</v>
      </c>
      <c r="DG3" s="70">
        <v>1</v>
      </c>
      <c r="DH3" s="70">
        <v>2</v>
      </c>
      <c r="DI3" s="70">
        <v>3</v>
      </c>
      <c r="DJ3" s="70">
        <v>4</v>
      </c>
      <c r="DK3" s="70">
        <v>1</v>
      </c>
      <c r="DL3" s="70">
        <v>2</v>
      </c>
      <c r="DM3" s="70">
        <v>3</v>
      </c>
      <c r="DN3" s="70">
        <v>4</v>
      </c>
      <c r="DO3" s="70">
        <v>1</v>
      </c>
      <c r="DP3" s="70">
        <v>2</v>
      </c>
      <c r="DQ3" s="70">
        <v>3</v>
      </c>
      <c r="DR3" s="70">
        <v>4</v>
      </c>
      <c r="DS3" s="70">
        <v>1</v>
      </c>
      <c r="DT3" s="70">
        <v>2</v>
      </c>
      <c r="DU3" s="70">
        <v>3</v>
      </c>
      <c r="DV3" s="70">
        <v>4</v>
      </c>
      <c r="DW3" s="70">
        <v>1</v>
      </c>
      <c r="DX3" s="70">
        <v>2</v>
      </c>
      <c r="DY3" s="70">
        <v>3</v>
      </c>
      <c r="DZ3" s="70">
        <v>4</v>
      </c>
      <c r="EA3" s="70">
        <v>1</v>
      </c>
      <c r="EB3" s="70">
        <v>2</v>
      </c>
      <c r="EC3" s="70">
        <v>3</v>
      </c>
      <c r="ED3" s="70">
        <v>4</v>
      </c>
      <c r="EE3" s="70">
        <v>1</v>
      </c>
      <c r="EF3" s="70">
        <v>2</v>
      </c>
      <c r="EG3" s="70">
        <v>3</v>
      </c>
      <c r="EH3" s="70">
        <v>4</v>
      </c>
    </row>
    <row r="4" spans="1:138">
      <c r="A4" s="107">
        <v>1</v>
      </c>
      <c r="B4" s="47" t="s">
        <v>15</v>
      </c>
      <c r="C4" s="20">
        <v>0.25</v>
      </c>
      <c r="D4" s="20">
        <v>0.25800000000000001</v>
      </c>
      <c r="E4" s="20">
        <v>0.26600000000000001</v>
      </c>
      <c r="F4" s="20">
        <v>0.27400000000000002</v>
      </c>
      <c r="G4" s="20">
        <v>0.2833492822966508</v>
      </c>
      <c r="H4" s="20">
        <v>0.29329810499672515</v>
      </c>
      <c r="I4" s="20">
        <v>0.29942583732057426</v>
      </c>
      <c r="J4" s="20">
        <v>0.307464114832536</v>
      </c>
      <c r="K4" s="20">
        <v>0.31701197316911256</v>
      </c>
      <c r="L4" s="20">
        <v>0.32508871133902628</v>
      </c>
      <c r="M4" s="20">
        <v>0.33316544950894</v>
      </c>
      <c r="N4" s="20">
        <v>0.34124218767885367</v>
      </c>
      <c r="O4" s="20">
        <v>0.3509903082690965</v>
      </c>
      <c r="P4" s="20">
        <v>0.35910569111924906</v>
      </c>
      <c r="Q4" s="20">
        <v>0.36722107396940157</v>
      </c>
      <c r="R4" s="20">
        <v>0.37533645681955402</v>
      </c>
      <c r="S4" s="20">
        <v>0.38528653746716934</v>
      </c>
      <c r="T4" s="20">
        <v>0.39344074990033689</v>
      </c>
      <c r="U4" s="20">
        <v>0.40159496233350456</v>
      </c>
      <c r="V4" s="20">
        <v>0.40974917476667211</v>
      </c>
      <c r="W4" s="20">
        <v>0.39288868240785219</v>
      </c>
      <c r="X4" s="20">
        <v>0.39367445977266791</v>
      </c>
      <c r="Y4" s="20">
        <v>0.39446180869221326</v>
      </c>
      <c r="Z4" s="20">
        <v>0.39525073230959767</v>
      </c>
      <c r="AA4" s="20">
        <v>0.37974328730989099</v>
      </c>
      <c r="AB4" s="20">
        <v>0.38126226045913053</v>
      </c>
      <c r="AC4" s="20">
        <v>0.38278730950096712</v>
      </c>
      <c r="AD4" s="20">
        <v>0.38431845873897097</v>
      </c>
      <c r="AE4" s="20">
        <v>0.36997547319751667</v>
      </c>
      <c r="AF4" s="20">
        <v>0.3721953260367018</v>
      </c>
      <c r="AG4" s="20">
        <v>0.37442849799292199</v>
      </c>
      <c r="AH4" s="20">
        <v>0.37667506898087949</v>
      </c>
      <c r="AI4" s="20">
        <v>0.3631219755897972</v>
      </c>
      <c r="AJ4" s="20">
        <v>0.36580907820916164</v>
      </c>
      <c r="AK4" s="20">
        <v>0.36851606538790938</v>
      </c>
      <c r="AL4" s="20">
        <v>0.37124308427177988</v>
      </c>
      <c r="AM4" s="20">
        <v>0.35813411794677641</v>
      </c>
      <c r="AN4" s="20">
        <v>0.36103500430214525</v>
      </c>
      <c r="AO4" s="20">
        <v>0.36287628282408624</v>
      </c>
      <c r="AP4" s="20">
        <v>0.36472695186648918</v>
      </c>
      <c r="AQ4" s="20"/>
      <c r="AR4" s="20"/>
      <c r="AS4" s="20"/>
      <c r="AT4" s="20"/>
      <c r="AW4" s="107">
        <v>1</v>
      </c>
      <c r="AX4" s="47" t="s">
        <v>15</v>
      </c>
      <c r="AY4" s="86">
        <f>C4*'Total Tonnage'!C4</f>
        <v>11.833333333333334</v>
      </c>
      <c r="AZ4" s="86">
        <f>D4*'Total Tonnage'!D4</f>
        <v>11.137343999999999</v>
      </c>
      <c r="BA4" s="86">
        <f>E4*'Total Tonnage'!E4</f>
        <v>11.88558933333333</v>
      </c>
      <c r="BB4" s="86">
        <f>F4*'Total Tonnage'!F4</f>
        <v>12.658069333333332</v>
      </c>
      <c r="BC4" s="86">
        <f>G4*'Total Tonnage'!G4</f>
        <v>13.6801033492823</v>
      </c>
      <c r="BD4" s="86">
        <f>H4*'Total Tonnage'!H4</f>
        <v>14.160432509241891</v>
      </c>
      <c r="BE4" s="86">
        <f>I4*'Total Tonnage'!I4</f>
        <v>14.456279425837325</v>
      </c>
      <c r="BF4" s="86">
        <f>J4*'Total Tonnage'!J4</f>
        <v>14.844367464114837</v>
      </c>
      <c r="BG4" s="86">
        <f>K4*'Total Tonnage'!K4</f>
        <v>15.61144482589685</v>
      </c>
      <c r="BH4" s="86">
        <f>L4*'Total Tonnage'!L4</f>
        <v>16.009188643117152</v>
      </c>
      <c r="BI4" s="86">
        <f>M4*'Total Tonnage'!M4</f>
        <v>16.406932460337458</v>
      </c>
      <c r="BJ4" s="86">
        <f>N4*'Total Tonnage'!N4</f>
        <v>16.804676277557757</v>
      </c>
      <c r="BK4" s="86">
        <f>O4*'Total Tonnage'!O4</f>
        <v>17.630422891394552</v>
      </c>
      <c r="BL4" s="86">
        <f>P4*'Total Tonnage'!P4</f>
        <v>18.038062727033736</v>
      </c>
      <c r="BM4" s="86">
        <f>Q4*'Total Tonnage'!Q4</f>
        <v>18.445702562672913</v>
      </c>
      <c r="BN4" s="86">
        <f>R4*'Total Tonnage'!R4</f>
        <v>18.85334239831209</v>
      </c>
      <c r="BO4" s="86">
        <f>S4*'Total Tonnage'!S4</f>
        <v>19.740202844556762</v>
      </c>
      <c r="BP4" s="86">
        <f>T4*'Total Tonnage'!T4</f>
        <v>20.157984915341029</v>
      </c>
      <c r="BQ4" s="86">
        <f>U4*'Total Tonnage'!U4</f>
        <v>20.575766986125302</v>
      </c>
      <c r="BR4" s="86">
        <f>V4*'Total Tonnage'!V4</f>
        <v>20.993549056909568</v>
      </c>
      <c r="BS4" s="86">
        <f>W4*'Total Tonnage'!W4</f>
        <v>20.532293663276423</v>
      </c>
      <c r="BT4" s="86">
        <f>X4*'Total Tonnage'!X4</f>
        <v>20.573358250602976</v>
      </c>
      <c r="BU4" s="86">
        <f>Y4*'Total Tonnage'!Y4</f>
        <v>20.614504967104178</v>
      </c>
      <c r="BV4" s="86">
        <f>Z4*'Total Tonnage'!Z4</f>
        <v>20.655733977038391</v>
      </c>
      <c r="BW4" s="86">
        <f>AA4*'Total Tonnage'!AA4</f>
        <v>20.242223972445434</v>
      </c>
      <c r="BX4" s="86">
        <f>AB4*'Total Tonnage'!AB4</f>
        <v>20.323192868335216</v>
      </c>
      <c r="BY4" s="86">
        <f>AC4*'Total Tonnage'!AC4</f>
        <v>20.404485639808559</v>
      </c>
      <c r="BZ4" s="86">
        <f>AD4*'Total Tonnage'!AD4</f>
        <v>20.486103582367789</v>
      </c>
      <c r="CA4" s="86">
        <f>AE4*'Total Tonnage'!AE4</f>
        <v>20.115981443004063</v>
      </c>
      <c r="CB4" s="86">
        <f>AF4*'Total Tonnage'!AF4</f>
        <v>20.236677331662086</v>
      </c>
      <c r="CC4" s="86">
        <f>AG4*'Total Tonnage'!AG4</f>
        <v>20.358097395652059</v>
      </c>
      <c r="CD4" s="86">
        <f>AH4*'Total Tonnage'!AH4</f>
        <v>20.48024598002597</v>
      </c>
      <c r="CE4" s="86">
        <f>AI4*'Total Tonnage'!AI4</f>
        <v>20.138216072998784</v>
      </c>
      <c r="CF4" s="86">
        <f>AJ4*'Total Tonnage'!AJ4</f>
        <v>20.287238871938975</v>
      </c>
      <c r="CG4" s="86">
        <f>AK4*'Total Tonnage'!AK4</f>
        <v>20.437364439591317</v>
      </c>
      <c r="CH4" s="86">
        <f>AL4*'Total Tonnage'!AL4</f>
        <v>20.588600936444294</v>
      </c>
      <c r="CI4" s="86">
        <f>AM4*'Total Tonnage'!AM4</f>
        <v>20.258828685272807</v>
      </c>
      <c r="CJ4" s="86">
        <f>AN4*'Total Tonnage'!AN4</f>
        <v>20.422925197623513</v>
      </c>
      <c r="CK4" s="86">
        <f>AO4*'Total Tonnage'!AO4</f>
        <v>20.527082116131396</v>
      </c>
      <c r="CL4" s="86">
        <f>AP4*'Total Tonnage'!AP4</f>
        <v>20.631770234923671</v>
      </c>
      <c r="CM4" s="86"/>
      <c r="CN4" s="86"/>
      <c r="CO4" s="86"/>
      <c r="CP4" s="86"/>
      <c r="CU4" s="79">
        <v>10.775</v>
      </c>
      <c r="CV4" s="79">
        <v>11.119800000000001</v>
      </c>
      <c r="CW4" s="79">
        <v>11.464600000000001</v>
      </c>
      <c r="CX4" s="79">
        <v>11.809400000000002</v>
      </c>
      <c r="CY4" s="79">
        <v>12.761910000000002</v>
      </c>
      <c r="CZ4" s="79">
        <v>13.21</v>
      </c>
      <c r="DA4" s="79">
        <v>13.485990000000003</v>
      </c>
      <c r="DB4" s="79">
        <v>13.848030000000003</v>
      </c>
      <c r="DC4" s="79">
        <v>14.920573500000005</v>
      </c>
      <c r="DD4" s="79">
        <v>15.300715500000004</v>
      </c>
      <c r="DE4" s="79">
        <v>15.680857500000005</v>
      </c>
      <c r="DF4" s="79">
        <v>16.060999500000005</v>
      </c>
      <c r="DG4" s="79">
        <v>17.263198575000008</v>
      </c>
      <c r="DH4" s="79">
        <v>17.66234767500001</v>
      </c>
      <c r="DI4" s="79">
        <v>18.061496775000009</v>
      </c>
      <c r="DJ4" s="79">
        <v>18.460645875000008</v>
      </c>
      <c r="DK4" s="79">
        <v>19.802784723750012</v>
      </c>
      <c r="DL4" s="79">
        <v>20.221891278750011</v>
      </c>
      <c r="DM4" s="79">
        <v>20.640997833750014</v>
      </c>
      <c r="DN4" s="79">
        <v>21.060104388750013</v>
      </c>
      <c r="DO4" s="80">
        <f>DN4*100.2%</f>
        <v>21.102224597527513</v>
      </c>
      <c r="DP4" s="80">
        <f t="shared" ref="DP4:DR4" si="0">DO4*100.2%</f>
        <v>21.144429046722568</v>
      </c>
      <c r="DQ4" s="80">
        <f t="shared" si="0"/>
        <v>21.186717904816014</v>
      </c>
      <c r="DR4" s="80">
        <f t="shared" si="0"/>
        <v>21.229091340625647</v>
      </c>
      <c r="DS4" s="80">
        <f>DR4*100.4%</f>
        <v>21.31400770598815</v>
      </c>
      <c r="DT4" s="80">
        <f t="shared" ref="DT4:DV4" si="1">DS4*100.4%</f>
        <v>21.399263736812102</v>
      </c>
      <c r="DU4" s="80">
        <f t="shared" si="1"/>
        <v>21.484860791759353</v>
      </c>
      <c r="DV4" s="80">
        <f t="shared" si="1"/>
        <v>21.570800234926391</v>
      </c>
      <c r="DW4" s="80">
        <f>DV4*100.6%</f>
        <v>21.700225036335951</v>
      </c>
      <c r="DX4" s="80">
        <f t="shared" ref="DX4:DZ4" si="2">DW4*100.6%</f>
        <v>21.830426386553967</v>
      </c>
      <c r="DY4" s="80">
        <f t="shared" si="2"/>
        <v>21.961408944873291</v>
      </c>
      <c r="DZ4" s="80">
        <f t="shared" si="2"/>
        <v>22.093177398542529</v>
      </c>
      <c r="EA4" s="80">
        <f>DZ4*100.74%</f>
        <v>22.256666911291742</v>
      </c>
      <c r="EB4" s="80">
        <f t="shared" ref="EB4:ED4" si="3">EA4*100.74%</f>
        <v>22.421366246435298</v>
      </c>
      <c r="EC4" s="80">
        <f t="shared" si="3"/>
        <v>22.587284356658916</v>
      </c>
      <c r="ED4" s="80">
        <f t="shared" si="3"/>
        <v>22.754430260898189</v>
      </c>
      <c r="EE4" s="80">
        <f>ED4*100.81%</f>
        <v>22.938741146011466</v>
      </c>
      <c r="EF4" s="80">
        <f t="shared" ref="EF4" si="4">EE4*100.81%</f>
        <v>23.124544949294158</v>
      </c>
      <c r="EG4" s="80">
        <f>EF4*100.51%</f>
        <v>23.242480128535561</v>
      </c>
      <c r="EH4" s="80">
        <f>EG4*100.51%</f>
        <v>23.361016777191097</v>
      </c>
    </row>
    <row r="5" spans="1:138">
      <c r="A5" s="108"/>
      <c r="B5" s="47" t="s">
        <v>17</v>
      </c>
      <c r="C5" s="20">
        <v>0.25</v>
      </c>
      <c r="D5" s="20">
        <v>0.25800000000000006</v>
      </c>
      <c r="E5" s="20">
        <v>0.26600000000000001</v>
      </c>
      <c r="F5" s="20">
        <v>0.27400000000000002</v>
      </c>
      <c r="G5" s="20">
        <v>0.2833492822966508</v>
      </c>
      <c r="H5" s="20">
        <v>0.29138755980861253</v>
      </c>
      <c r="I5" s="20">
        <v>0.29942583732057426</v>
      </c>
      <c r="J5" s="20">
        <v>0.30746411483253594</v>
      </c>
      <c r="K5" s="20">
        <v>0.31701197316911256</v>
      </c>
      <c r="L5" s="20">
        <v>0.32508871133902628</v>
      </c>
      <c r="M5" s="20">
        <v>0.33316544950894</v>
      </c>
      <c r="N5" s="20">
        <v>0.34124218767885367</v>
      </c>
      <c r="O5" s="20">
        <v>0.35099030826909644</v>
      </c>
      <c r="P5" s="20">
        <v>0.359105691119249</v>
      </c>
      <c r="Q5" s="20">
        <v>0.36722107396940151</v>
      </c>
      <c r="R5" s="20">
        <v>0.37533645681955402</v>
      </c>
      <c r="S5" s="20">
        <v>0.37578682617455261</v>
      </c>
      <c r="T5" s="20">
        <v>0.37578682617455261</v>
      </c>
      <c r="U5" s="20">
        <v>0.37578682617455261</v>
      </c>
      <c r="V5" s="20">
        <v>0.37578682617455261</v>
      </c>
      <c r="W5" s="20">
        <v>0.36032382758555193</v>
      </c>
      <c r="X5" s="20">
        <v>0.36104447524072303</v>
      </c>
      <c r="Y5" s="20">
        <v>0.36176656419120445</v>
      </c>
      <c r="Z5" s="20">
        <v>0.36249009731958687</v>
      </c>
      <c r="AA5" s="20">
        <v>0.34826799780752654</v>
      </c>
      <c r="AB5" s="20">
        <v>0.34966106979875666</v>
      </c>
      <c r="AC5" s="20">
        <v>0.35105971407795172</v>
      </c>
      <c r="AD5" s="20">
        <v>0.35246395293426352</v>
      </c>
      <c r="AE5" s="20">
        <v>0.33930979583910914</v>
      </c>
      <c r="AF5" s="20">
        <v>0.34134565461414379</v>
      </c>
      <c r="AG5" s="20">
        <v>0.34339372854182865</v>
      </c>
      <c r="AH5" s="20">
        <v>0.3454540909130796</v>
      </c>
      <c r="AI5" s="20">
        <v>0.33302435520175738</v>
      </c>
      <c r="AJ5" s="20">
        <v>0.33548873543025037</v>
      </c>
      <c r="AK5" s="20">
        <v>0.33797135207243417</v>
      </c>
      <c r="AL5" s="20">
        <v>0.34047234007777016</v>
      </c>
      <c r="AM5" s="20">
        <v>0.32844991964822967</v>
      </c>
      <c r="AN5" s="20">
        <v>0.33111036399738036</v>
      </c>
      <c r="AO5" s="20">
        <v>0.33279902685376705</v>
      </c>
      <c r="AP5" s="20">
        <v>0.33449630189072133</v>
      </c>
      <c r="AQ5" s="20"/>
      <c r="AR5" s="20"/>
      <c r="AS5" s="20"/>
      <c r="AT5" s="20"/>
      <c r="AW5" s="108"/>
      <c r="AX5" s="47" t="s">
        <v>17</v>
      </c>
      <c r="AY5" s="86">
        <f>C5*'Total Tonnage'!C5</f>
        <v>15</v>
      </c>
      <c r="AZ5" s="86">
        <f>D5*'Total Tonnage'!D5</f>
        <v>15.610719999999999</v>
      </c>
      <c r="BA5" s="86">
        <f>E5*'Total Tonnage'!E5</f>
        <v>16.094773333333332</v>
      </c>
      <c r="BB5" s="86">
        <f>F5*'Total Tonnage'!F5</f>
        <v>16.578826666666668</v>
      </c>
      <c r="BC5" s="86">
        <f>G5*'Total Tonnage'!G5</f>
        <v>17.770760267942585</v>
      </c>
      <c r="BD5" s="86">
        <f>H5*'Total Tonnage'!H5</f>
        <v>18.274895311004784</v>
      </c>
      <c r="BE5" s="86">
        <f>I5*'Total Tonnage'!I5</f>
        <v>18.779030354066986</v>
      </c>
      <c r="BF5" s="86">
        <f>J5*'Total Tonnage'!J5</f>
        <v>19.283165397129185</v>
      </c>
      <c r="BG5" s="86">
        <f>K5*'Total Tonnage'!K5</f>
        <v>20.596628022398754</v>
      </c>
      <c r="BH5" s="86">
        <f>L5*'Total Tonnage'!L5</f>
        <v>21.121382876472609</v>
      </c>
      <c r="BI5" s="86">
        <f>M5*'Total Tonnage'!M5</f>
        <v>21.646137730546464</v>
      </c>
      <c r="BJ5" s="86">
        <f>N5*'Total Tonnage'!N5</f>
        <v>22.170892584620319</v>
      </c>
      <c r="BK5" s="86">
        <f>O5*'Total Tonnage'!O5</f>
        <v>22.804239053233381</v>
      </c>
      <c r="BL5" s="86">
        <f>P5*'Total Tonnage'!P5</f>
        <v>23.33150469608271</v>
      </c>
      <c r="BM5" s="86">
        <f>Q5*'Total Tonnage'!Q5</f>
        <v>23.858770338932036</v>
      </c>
      <c r="BN5" s="86">
        <f>R5*'Total Tonnage'!R5</f>
        <v>24.386035981781362</v>
      </c>
      <c r="BO5" s="86">
        <f>S5*'Total Tonnage'!S5</f>
        <v>24.415296990395209</v>
      </c>
      <c r="BP5" s="86">
        <f>T5*'Total Tonnage'!T5</f>
        <v>24.415296990395209</v>
      </c>
      <c r="BQ5" s="86">
        <f>U5*'Total Tonnage'!U5</f>
        <v>24.415296990395209</v>
      </c>
      <c r="BR5" s="86">
        <f>V5*'Total Tonnage'!V5</f>
        <v>24.415296990395209</v>
      </c>
      <c r="BS5" s="86">
        <f>W5*'Total Tonnage'!W5</f>
        <v>23.410648406101437</v>
      </c>
      <c r="BT5" s="86">
        <f>X5*'Total Tonnage'!X5</f>
        <v>23.457469702913638</v>
      </c>
      <c r="BU5" s="86">
        <f>Y5*'Total Tonnage'!Y5</f>
        <v>23.504384642319465</v>
      </c>
      <c r="BV5" s="86">
        <f>Z5*'Total Tonnage'!Z5</f>
        <v>23.551393411604103</v>
      </c>
      <c r="BW5" s="86">
        <f>AA5*'Total Tonnage'!AA5</f>
        <v>22.627367450000499</v>
      </c>
      <c r="BX5" s="86">
        <f>AB5*'Total Tonnage'!AB5</f>
        <v>22.717876919800503</v>
      </c>
      <c r="BY5" s="86">
        <f>AC5*'Total Tonnage'!AC5</f>
        <v>22.808748427479706</v>
      </c>
      <c r="BZ5" s="86">
        <f>AD5*'Total Tonnage'!AD5</f>
        <v>22.899983421189624</v>
      </c>
      <c r="CA5" s="86">
        <f>AE5*'Total Tonnage'!AE5</f>
        <v>22.045342891594984</v>
      </c>
      <c r="CB5" s="86">
        <f>AF5*'Total Tonnage'!AF5</f>
        <v>22.177614948944555</v>
      </c>
      <c r="CC5" s="86">
        <f>AG5*'Total Tonnage'!AG5</f>
        <v>22.310680638638221</v>
      </c>
      <c r="CD5" s="86">
        <f>AH5*'Total Tonnage'!AH5</f>
        <v>22.444544722470049</v>
      </c>
      <c r="CE5" s="86">
        <f>AI5*'Total Tonnage'!AI5</f>
        <v>21.636970673125678</v>
      </c>
      <c r="CF5" s="86">
        <f>AJ5*'Total Tonnage'!AJ5</f>
        <v>21.797084256106807</v>
      </c>
      <c r="CG5" s="86">
        <f>AK5*'Total Tonnage'!AK5</f>
        <v>21.958382679601993</v>
      </c>
      <c r="CH5" s="86">
        <f>AL5*'Total Tonnage'!AL5</f>
        <v>22.120874711431046</v>
      </c>
      <c r="CI5" s="86">
        <f>AM5*'Total Tonnage'!AM5</f>
        <v>21.339764398654193</v>
      </c>
      <c r="CJ5" s="86">
        <f>AN5*'Total Tonnage'!AN5</f>
        <v>21.512616490283293</v>
      </c>
      <c r="CK5" s="86">
        <f>AO5*'Total Tonnage'!AO5</f>
        <v>21.622330834383742</v>
      </c>
      <c r="CL5" s="86">
        <f>AP5*'Total Tonnage'!AP5</f>
        <v>21.732604721639103</v>
      </c>
      <c r="CM5" s="86"/>
      <c r="CN5" s="86"/>
      <c r="CO5" s="86"/>
      <c r="CP5" s="86"/>
      <c r="CU5" s="79">
        <v>12.05</v>
      </c>
      <c r="CV5" s="79">
        <v>12.435600000000001</v>
      </c>
      <c r="CW5" s="79">
        <v>12.821200000000001</v>
      </c>
      <c r="CX5" s="79">
        <v>13.206800000000001</v>
      </c>
      <c r="CY5" s="79">
        <v>14.272020000000003</v>
      </c>
      <c r="CZ5" s="79">
        <v>14.676900000000003</v>
      </c>
      <c r="DA5" s="79">
        <v>15.081780000000004</v>
      </c>
      <c r="DB5" s="79">
        <v>15.486660000000004</v>
      </c>
      <c r="DC5" s="79">
        <v>16.686117000000007</v>
      </c>
      <c r="DD5" s="79">
        <v>17.111241000000007</v>
      </c>
      <c r="DE5" s="79">
        <v>17.536365000000007</v>
      </c>
      <c r="DF5" s="79">
        <v>17.961489000000007</v>
      </c>
      <c r="DG5" s="79">
        <v>19.30594365000001</v>
      </c>
      <c r="DH5" s="79">
        <v>19.75232385000001</v>
      </c>
      <c r="DI5" s="79">
        <v>20.198704050000011</v>
      </c>
      <c r="DJ5" s="79">
        <v>20.645084250000011</v>
      </c>
      <c r="DK5" s="79">
        <v>21.6</v>
      </c>
      <c r="DL5" s="79">
        <v>21.6</v>
      </c>
      <c r="DM5" s="79">
        <v>21.6</v>
      </c>
      <c r="DN5" s="79">
        <v>21.6</v>
      </c>
      <c r="DO5" s="80">
        <f t="shared" ref="DO5:DR20" si="5">DN5*100.2%</f>
        <v>21.6432</v>
      </c>
      <c r="DP5" s="80">
        <f t="shared" si="5"/>
        <v>21.6864864</v>
      </c>
      <c r="DQ5" s="80">
        <f t="shared" si="5"/>
        <v>21.7298593728</v>
      </c>
      <c r="DR5" s="80">
        <f t="shared" si="5"/>
        <v>21.773319091545599</v>
      </c>
      <c r="DS5" s="80">
        <f t="shared" ref="DS5:DV20" si="6">DR5*100.4%</f>
        <v>21.860412367911781</v>
      </c>
      <c r="DT5" s="80">
        <f t="shared" si="6"/>
        <v>21.947854017383428</v>
      </c>
      <c r="DU5" s="80">
        <f t="shared" si="6"/>
        <v>22.035645433452963</v>
      </c>
      <c r="DV5" s="80">
        <f t="shared" si="6"/>
        <v>22.123788015186776</v>
      </c>
      <c r="DW5" s="80">
        <f t="shared" ref="DW5:DZ20" si="7">DV5*100.6%</f>
        <v>22.256530743277896</v>
      </c>
      <c r="DX5" s="80">
        <f t="shared" si="7"/>
        <v>22.390069927737564</v>
      </c>
      <c r="DY5" s="80">
        <f t="shared" si="7"/>
        <v>22.524410347303988</v>
      </c>
      <c r="DZ5" s="80">
        <f t="shared" si="7"/>
        <v>22.659556809387812</v>
      </c>
      <c r="EA5" s="80">
        <f t="shared" ref="EA5:ED20" si="8">DZ5*100.74%</f>
        <v>22.827237529777278</v>
      </c>
      <c r="EB5" s="80">
        <f t="shared" si="8"/>
        <v>22.996159087497627</v>
      </c>
      <c r="EC5" s="80">
        <f t="shared" si="8"/>
        <v>23.166330664745107</v>
      </c>
      <c r="ED5" s="80">
        <f t="shared" si="8"/>
        <v>23.337761511664219</v>
      </c>
      <c r="EE5" s="80">
        <f t="shared" ref="EE5:EF20" si="9">ED5*100.81%</f>
        <v>23.5267973799087</v>
      </c>
      <c r="EF5" s="80">
        <f t="shared" si="9"/>
        <v>23.717364438685962</v>
      </c>
      <c r="EG5" s="80">
        <f t="shared" ref="EG5:EH20" si="10">EF5*100.51%</f>
        <v>23.838322997323264</v>
      </c>
      <c r="EH5" s="80">
        <f t="shared" si="10"/>
        <v>23.959898444609614</v>
      </c>
    </row>
    <row r="6" spans="1:138">
      <c r="A6" s="108"/>
      <c r="B6" s="47" t="s">
        <v>14</v>
      </c>
      <c r="C6" s="20">
        <v>0.25</v>
      </c>
      <c r="D6" s="20">
        <v>0.25800000000000001</v>
      </c>
      <c r="E6" s="20">
        <v>0.26600000000000001</v>
      </c>
      <c r="F6" s="20">
        <v>0.27400000000000002</v>
      </c>
      <c r="G6" s="20">
        <v>0.2833492822966508</v>
      </c>
      <c r="H6" s="20">
        <v>0.29138755980861253</v>
      </c>
      <c r="I6" s="20">
        <v>0.29942583732057426</v>
      </c>
      <c r="J6" s="20">
        <v>0.307464114832536</v>
      </c>
      <c r="K6" s="20">
        <v>0.3170119731691125</v>
      </c>
      <c r="L6" s="20">
        <v>0.32508871133902623</v>
      </c>
      <c r="M6" s="20">
        <v>0.33316544950893989</v>
      </c>
      <c r="N6" s="20">
        <v>0.34124218767885361</v>
      </c>
      <c r="O6" s="20">
        <v>0.35099030826909644</v>
      </c>
      <c r="P6" s="20">
        <v>0.35910569111924895</v>
      </c>
      <c r="Q6" s="20">
        <v>0.36722107396940151</v>
      </c>
      <c r="R6" s="20">
        <v>0.37533645681955402</v>
      </c>
      <c r="S6" s="20">
        <v>0.38528653746716929</v>
      </c>
      <c r="T6" s="20">
        <v>0.39344074990033689</v>
      </c>
      <c r="U6" s="20">
        <v>0.40072842968171324</v>
      </c>
      <c r="V6" s="20">
        <v>0.40072842968171324</v>
      </c>
      <c r="W6" s="20">
        <v>0.38423912587662845</v>
      </c>
      <c r="X6" s="20">
        <v>0.3850076041283817</v>
      </c>
      <c r="Y6" s="20">
        <v>0.38577761933663846</v>
      </c>
      <c r="Z6" s="20">
        <v>0.38654917457531168</v>
      </c>
      <c r="AA6" s="20">
        <v>0.3713831304053713</v>
      </c>
      <c r="AB6" s="20">
        <v>0.37286866292699278</v>
      </c>
      <c r="AC6" s="20">
        <v>0.37436013757870079</v>
      </c>
      <c r="AD6" s="20">
        <v>0.3758575781290156</v>
      </c>
      <c r="AE6" s="20">
        <v>0.3618303575098466</v>
      </c>
      <c r="AF6" s="20">
        <v>0.36400133965490572</v>
      </c>
      <c r="AG6" s="20">
        <v>0.36618534769283512</v>
      </c>
      <c r="AH6" s="20">
        <v>0.36838245977899214</v>
      </c>
      <c r="AI6" s="20">
        <v>0.35512774160895366</v>
      </c>
      <c r="AJ6" s="20">
        <v>0.35775568689685988</v>
      </c>
      <c r="AK6" s="20">
        <v>0.3604030789798966</v>
      </c>
      <c r="AL6" s="20">
        <v>0.36307006176434781</v>
      </c>
      <c r="AM6" s="20">
        <v>0.35024969307620962</v>
      </c>
      <c r="AN6" s="20">
        <v>0.35308671559012694</v>
      </c>
      <c r="AO6" s="20">
        <v>0.35488745783963666</v>
      </c>
      <c r="AP6" s="20">
        <v>0.3566973838746188</v>
      </c>
      <c r="AQ6" s="20"/>
      <c r="AR6" s="20"/>
      <c r="AS6" s="20"/>
      <c r="AT6" s="20"/>
      <c r="AW6" s="108"/>
      <c r="AX6" s="47" t="s">
        <v>14</v>
      </c>
      <c r="AY6" s="86">
        <f>C6*'Total Tonnage'!C6</f>
        <v>20.304999999999996</v>
      </c>
      <c r="AZ6" s="86">
        <f>D6*'Total Tonnage'!D6</f>
        <v>20.954759999999997</v>
      </c>
      <c r="BA6" s="86">
        <f>E6*'Total Tonnage'!E6</f>
        <v>21.604519999999997</v>
      </c>
      <c r="BB6" s="86">
        <f>F6*'Total Tonnage'!F6</f>
        <v>22.254279999999998</v>
      </c>
      <c r="BC6" s="86">
        <f>G6*'Total Tonnage'!G6</f>
        <v>23.491468937799048</v>
      </c>
      <c r="BD6" s="86">
        <f>H6*'Total Tonnage'!H6</f>
        <v>24.15789358851675</v>
      </c>
      <c r="BE6" s="86">
        <f>I6*'Total Tonnage'!I6</f>
        <v>24.824318239234454</v>
      </c>
      <c r="BF6" s="86">
        <f>J6*'Total Tonnage'!J6</f>
        <v>25.490742889952159</v>
      </c>
      <c r="BG6" s="86">
        <f>K6*'Total Tonnage'!K6</f>
        <v>26.827622623731145</v>
      </c>
      <c r="BH6" s="86">
        <f>L6*'Total Tonnage'!L6</f>
        <v>27.511128932616018</v>
      </c>
      <c r="BI6" s="86">
        <f>M6*'Total Tonnage'!M6</f>
        <v>28.194635241500887</v>
      </c>
      <c r="BJ6" s="86">
        <f>N6*'Total Tonnage'!N6</f>
        <v>28.878141550385759</v>
      </c>
      <c r="BK6" s="86">
        <f>O6*'Total Tonnage'!O6</f>
        <v>29.703091150463319</v>
      </c>
      <c r="BL6" s="86">
        <f>P6*'Total Tonnage'!P6</f>
        <v>30.38986782446247</v>
      </c>
      <c r="BM6" s="86">
        <f>Q6*'Total Tonnage'!Q6</f>
        <v>31.076644498461626</v>
      </c>
      <c r="BN6" s="86">
        <f>R6*'Total Tonnage'!R6</f>
        <v>31.763421172460777</v>
      </c>
      <c r="BO6" s="86">
        <f>S6*'Total Tonnage'!S6</f>
        <v>32.605461950988449</v>
      </c>
      <c r="BP6" s="86">
        <f>T6*'Total Tonnage'!T6</f>
        <v>33.295524637781853</v>
      </c>
      <c r="BQ6" s="86">
        <f>U6*'Total Tonnage'!U6</f>
        <v>33.912255674855537</v>
      </c>
      <c r="BR6" s="86">
        <f>V6*'Total Tonnage'!V6</f>
        <v>33.912255674855537</v>
      </c>
      <c r="BS6" s="86">
        <f>W6*'Total Tonnage'!W6</f>
        <v>32.516823144694023</v>
      </c>
      <c r="BT6" s="86">
        <f>X6*'Total Tonnage'!X6</f>
        <v>32.581856790983409</v>
      </c>
      <c r="BU6" s="86">
        <f>Y6*'Total Tonnage'!Y6</f>
        <v>32.647020504565376</v>
      </c>
      <c r="BV6" s="86">
        <f>Z6*'Total Tonnage'!Z6</f>
        <v>32.7123145455745</v>
      </c>
      <c r="BW6" s="86">
        <f>AA6*'Total Tonnage'!AA6</f>
        <v>31.428864883977802</v>
      </c>
      <c r="BX6" s="86">
        <f>AB6*'Total Tonnage'!AB6</f>
        <v>31.554580343513713</v>
      </c>
      <c r="BY6" s="86">
        <f>AC6*'Total Tonnage'!AC6</f>
        <v>31.680798664887771</v>
      </c>
      <c r="BZ6" s="86">
        <f>AD6*'Total Tonnage'!AD6</f>
        <v>31.807521859547325</v>
      </c>
      <c r="CA6" s="86">
        <f>AE6*'Total Tonnage'!AE6</f>
        <v>30.620446881057042</v>
      </c>
      <c r="CB6" s="86">
        <f>AF6*'Total Tonnage'!AF6</f>
        <v>30.804169562343386</v>
      </c>
      <c r="CC6" s="86">
        <f>AG6*'Total Tonnage'!AG6</f>
        <v>30.988994579717446</v>
      </c>
      <c r="CD6" s="86">
        <f>AH6*'Total Tonnage'!AH6</f>
        <v>31.174928547195751</v>
      </c>
      <c r="CE6" s="86">
        <f>AI6*'Total Tonnage'!AI6</f>
        <v>30.053227768846881</v>
      </c>
      <c r="CF6" s="86">
        <f>AJ6*'Total Tonnage'!AJ6</f>
        <v>30.275621654336344</v>
      </c>
      <c r="CG6" s="86">
        <f>AK6*'Total Tonnage'!AK6</f>
        <v>30.499661254578427</v>
      </c>
      <c r="CH6" s="86">
        <f>AL6*'Total Tonnage'!AL6</f>
        <v>30.725358747862305</v>
      </c>
      <c r="CI6" s="86">
        <f>AM6*'Total Tonnage'!AM6</f>
        <v>29.640415458105256</v>
      </c>
      <c r="CJ6" s="86">
        <f>AN6*'Total Tonnage'!AN6</f>
        <v>29.880502823315911</v>
      </c>
      <c r="CK6" s="86">
        <f>AO6*'Total Tonnage'!AO6</f>
        <v>30.032893387714829</v>
      </c>
      <c r="CL6" s="86">
        <f>AP6*'Total Tonnage'!AP6</f>
        <v>30.186061143992173</v>
      </c>
      <c r="CM6" s="86"/>
      <c r="CN6" s="86"/>
      <c r="CO6" s="86"/>
      <c r="CP6" s="86"/>
      <c r="CU6" s="79">
        <v>11.3</v>
      </c>
      <c r="CV6" s="79">
        <v>11.661600000000002</v>
      </c>
      <c r="CW6" s="79">
        <v>12.023200000000001</v>
      </c>
      <c r="CX6" s="79">
        <v>12.384800000000002</v>
      </c>
      <c r="CY6" s="79">
        <v>13.383720000000004</v>
      </c>
      <c r="CZ6" s="79">
        <v>13.763400000000004</v>
      </c>
      <c r="DA6" s="79">
        <v>14.143080000000005</v>
      </c>
      <c r="DB6" s="79">
        <v>14.522760000000005</v>
      </c>
      <c r="DC6" s="79">
        <v>15.647562000000006</v>
      </c>
      <c r="DD6" s="79">
        <v>16.046226000000008</v>
      </c>
      <c r="DE6" s="79">
        <v>16.444890000000008</v>
      </c>
      <c r="DF6" s="79">
        <v>16.843554000000008</v>
      </c>
      <c r="DG6" s="79">
        <v>18.104328900000009</v>
      </c>
      <c r="DH6" s="79">
        <v>18.52292610000001</v>
      </c>
      <c r="DI6" s="79">
        <v>18.941523300000011</v>
      </c>
      <c r="DJ6" s="79">
        <v>19.360120500000011</v>
      </c>
      <c r="DK6" s="79">
        <v>20.767653585000012</v>
      </c>
      <c r="DL6" s="79">
        <v>21.207180645000012</v>
      </c>
      <c r="DM6" s="79">
        <v>21.6</v>
      </c>
      <c r="DN6" s="79">
        <v>21.6</v>
      </c>
      <c r="DO6" s="80">
        <f t="shared" si="5"/>
        <v>21.6432</v>
      </c>
      <c r="DP6" s="80">
        <f t="shared" si="5"/>
        <v>21.6864864</v>
      </c>
      <c r="DQ6" s="80">
        <f t="shared" si="5"/>
        <v>21.7298593728</v>
      </c>
      <c r="DR6" s="80">
        <f t="shared" si="5"/>
        <v>21.773319091545599</v>
      </c>
      <c r="DS6" s="80">
        <f t="shared" si="6"/>
        <v>21.860412367911781</v>
      </c>
      <c r="DT6" s="80">
        <f t="shared" si="6"/>
        <v>21.947854017383428</v>
      </c>
      <c r="DU6" s="80">
        <f t="shared" si="6"/>
        <v>22.035645433452963</v>
      </c>
      <c r="DV6" s="80">
        <f t="shared" si="6"/>
        <v>22.123788015186776</v>
      </c>
      <c r="DW6" s="80">
        <f t="shared" si="7"/>
        <v>22.256530743277896</v>
      </c>
      <c r="DX6" s="80">
        <f t="shared" si="7"/>
        <v>22.390069927737564</v>
      </c>
      <c r="DY6" s="80">
        <f t="shared" si="7"/>
        <v>22.524410347303988</v>
      </c>
      <c r="DZ6" s="80">
        <f t="shared" si="7"/>
        <v>22.659556809387812</v>
      </c>
      <c r="EA6" s="80">
        <f t="shared" si="8"/>
        <v>22.827237529777278</v>
      </c>
      <c r="EB6" s="80">
        <f t="shared" si="8"/>
        <v>22.996159087497627</v>
      </c>
      <c r="EC6" s="80">
        <f t="shared" si="8"/>
        <v>23.166330664745107</v>
      </c>
      <c r="ED6" s="80">
        <f t="shared" si="8"/>
        <v>23.337761511664219</v>
      </c>
      <c r="EE6" s="80">
        <f t="shared" si="9"/>
        <v>23.5267973799087</v>
      </c>
      <c r="EF6" s="80">
        <f t="shared" si="9"/>
        <v>23.717364438685962</v>
      </c>
      <c r="EG6" s="80">
        <f t="shared" si="10"/>
        <v>23.838322997323264</v>
      </c>
      <c r="EH6" s="80">
        <f t="shared" si="10"/>
        <v>23.959898444609614</v>
      </c>
    </row>
    <row r="7" spans="1:138">
      <c r="A7" s="108"/>
      <c r="B7" s="47" t="s">
        <v>16</v>
      </c>
      <c r="C7" s="20">
        <v>0.15</v>
      </c>
      <c r="D7" s="20">
        <v>0.158</v>
      </c>
      <c r="E7" s="20">
        <v>0.16600000000000001</v>
      </c>
      <c r="F7" s="20">
        <v>0.17400000000000002</v>
      </c>
      <c r="G7" s="20">
        <v>0.18287081339712907</v>
      </c>
      <c r="H7" s="20">
        <v>0.19090909090909089</v>
      </c>
      <c r="I7" s="20">
        <v>0.19894736842105268</v>
      </c>
      <c r="J7" s="20">
        <v>0.20698564593301436</v>
      </c>
      <c r="K7" s="20">
        <v>0.21605274604519131</v>
      </c>
      <c r="L7" s="20">
        <v>0.22412948421510503</v>
      </c>
      <c r="M7" s="20">
        <v>0.23220622238501876</v>
      </c>
      <c r="N7" s="20">
        <v>0.24028296055493248</v>
      </c>
      <c r="O7" s="20">
        <v>0.24954802264218998</v>
      </c>
      <c r="P7" s="20">
        <v>0.25766340549234246</v>
      </c>
      <c r="Q7" s="20">
        <v>0.26577878834249496</v>
      </c>
      <c r="R7" s="20">
        <v>0.27389417119264747</v>
      </c>
      <c r="S7" s="20">
        <v>0.2833588820525742</v>
      </c>
      <c r="T7" s="20">
        <v>0.29151309448574181</v>
      </c>
      <c r="U7" s="20">
        <v>0.29966730691890942</v>
      </c>
      <c r="V7" s="20">
        <v>0.29966730691890942</v>
      </c>
      <c r="W7" s="20">
        <v>0.28733649907439929</v>
      </c>
      <c r="X7" s="20">
        <v>0.28791117207254802</v>
      </c>
      <c r="Y7" s="20">
        <v>0.28848699441669312</v>
      </c>
      <c r="Z7" s="20">
        <v>0.28906396840552656</v>
      </c>
      <c r="AA7" s="20">
        <v>0.27772270265947241</v>
      </c>
      <c r="AB7" s="20">
        <v>0.27883359347011027</v>
      </c>
      <c r="AC7" s="20">
        <v>0.27994892784399072</v>
      </c>
      <c r="AD7" s="20">
        <v>0.28106872355536666</v>
      </c>
      <c r="AE7" s="20">
        <v>0.27057907741310899</v>
      </c>
      <c r="AF7" s="20">
        <v>0.27220255187758763</v>
      </c>
      <c r="AG7" s="20">
        <v>0.27383576718885316</v>
      </c>
      <c r="AH7" s="20">
        <v>0.27547878179198632</v>
      </c>
      <c r="AI7" s="20">
        <v>0.26556681796865739</v>
      </c>
      <c r="AJ7" s="20">
        <v>0.26753201242162544</v>
      </c>
      <c r="AK7" s="20">
        <v>0.26951174931354543</v>
      </c>
      <c r="AL7" s="20">
        <v>0.27150613625846559</v>
      </c>
      <c r="AM7" s="20">
        <v>0.26191898178197048</v>
      </c>
      <c r="AN7" s="20">
        <v>0.26404052553440449</v>
      </c>
      <c r="AO7" s="20">
        <v>0.26538713221463001</v>
      </c>
      <c r="AP7" s="20">
        <v>0.26674060658892462</v>
      </c>
      <c r="AQ7" s="20"/>
      <c r="AR7" s="20"/>
      <c r="AS7" s="20"/>
      <c r="AT7" s="20"/>
      <c r="AW7" s="108"/>
      <c r="AX7" s="47" t="s">
        <v>16</v>
      </c>
      <c r="AY7" s="86">
        <f>C7*'Total Tonnage'!C7</f>
        <v>8.9519999999999964</v>
      </c>
      <c r="AZ7" s="86">
        <f>D7*'Total Tonnage'!D7</f>
        <v>9.4294399999999978</v>
      </c>
      <c r="BA7" s="86">
        <f>E7*'Total Tonnage'!E7</f>
        <v>9.9068799999999975</v>
      </c>
      <c r="BB7" s="86">
        <f>F7*'Total Tonnage'!F7</f>
        <v>10.384319999999997</v>
      </c>
      <c r="BC7" s="86">
        <f>G7*'Total Tonnage'!G7</f>
        <v>11.132004746411473</v>
      </c>
      <c r="BD7" s="86">
        <f>H7*'Total Tonnage'!H7</f>
        <v>11.621323636363632</v>
      </c>
      <c r="BE7" s="86">
        <f>I7*'Total Tonnage'!I7</f>
        <v>12.11064252631579</v>
      </c>
      <c r="BF7" s="86">
        <f>J7*'Total Tonnage'!J7</f>
        <v>12.59996141626794</v>
      </c>
      <c r="BG7" s="86">
        <f>K7*'Total Tonnage'!K7</f>
        <v>13.414946610489686</v>
      </c>
      <c r="BH7" s="86">
        <f>L7*'Total Tonnage'!L7</f>
        <v>13.916439941722947</v>
      </c>
      <c r="BI7" s="86">
        <f>M7*'Total Tonnage'!M7</f>
        <v>14.417933272956207</v>
      </c>
      <c r="BJ7" s="86">
        <f>N7*'Total Tonnage'!N7</f>
        <v>14.919426604189468</v>
      </c>
      <c r="BK7" s="86">
        <f>O7*'Total Tonnage'!O7</f>
        <v>15.804598326160521</v>
      </c>
      <c r="BL7" s="86">
        <f>P7*'Total Tonnage'!P7</f>
        <v>16.318569003434032</v>
      </c>
      <c r="BM7" s="86">
        <f>Q7*'Total Tonnage'!Q7</f>
        <v>16.832539680707544</v>
      </c>
      <c r="BN7" s="86">
        <f>R7*'Total Tonnage'!R7</f>
        <v>17.346510357981057</v>
      </c>
      <c r="BO7" s="86">
        <f>S7*'Total Tonnage'!S7</f>
        <v>18.304856639959471</v>
      </c>
      <c r="BP7" s="86">
        <f>T7*'Total Tonnage'!T7</f>
        <v>18.831615104418738</v>
      </c>
      <c r="BQ7" s="86">
        <f>U7*'Total Tonnage'!U7</f>
        <v>19.358373568878001</v>
      </c>
      <c r="BR7" s="86">
        <f>V7*'Total Tonnage'!V7</f>
        <v>19.358373568878001</v>
      </c>
      <c r="BS7" s="86">
        <f>W7*'Total Tonnage'!W7</f>
        <v>18.687880853773478</v>
      </c>
      <c r="BT7" s="86">
        <f>X7*'Total Tonnage'!X7</f>
        <v>18.725256615481019</v>
      </c>
      <c r="BU7" s="86">
        <f>Y7*'Total Tonnage'!Y7</f>
        <v>18.762707128711984</v>
      </c>
      <c r="BV7" s="86">
        <f>Z7*'Total Tonnage'!Z7</f>
        <v>18.800232542969411</v>
      </c>
      <c r="BW7" s="86">
        <f>AA7*'Total Tonnage'!AA7</f>
        <v>18.062615763771568</v>
      </c>
      <c r="BX7" s="86">
        <f>AB7*'Total Tonnage'!AB7</f>
        <v>18.134866226826652</v>
      </c>
      <c r="BY7" s="86">
        <f>AC7*'Total Tonnage'!AC7</f>
        <v>18.20740569173396</v>
      </c>
      <c r="BZ7" s="86">
        <f>AD7*'Total Tonnage'!AD7</f>
        <v>18.280235314500892</v>
      </c>
      <c r="CA7" s="86">
        <f>AE7*'Total Tonnage'!AE7</f>
        <v>17.598006436734835</v>
      </c>
      <c r="CB7" s="86">
        <f>AF7*'Total Tonnage'!AF7</f>
        <v>17.703594475355242</v>
      </c>
      <c r="CC7" s="86">
        <f>AG7*'Total Tonnage'!AG7</f>
        <v>17.809816042207373</v>
      </c>
      <c r="CD7" s="86">
        <f>AH7*'Total Tonnage'!AH7</f>
        <v>17.91667493846062</v>
      </c>
      <c r="CE7" s="86">
        <f>AI7*'Total Tonnage'!AI7</f>
        <v>17.272017543545669</v>
      </c>
      <c r="CF7" s="86">
        <f>AJ7*'Total Tonnage'!AJ7</f>
        <v>17.399830473367906</v>
      </c>
      <c r="CG7" s="86">
        <f>AK7*'Total Tonnage'!AK7</f>
        <v>17.528589218870827</v>
      </c>
      <c r="CH7" s="86">
        <f>AL7*'Total Tonnage'!AL7</f>
        <v>17.658300779090467</v>
      </c>
      <c r="CI7" s="86">
        <f>AM7*'Total Tonnage'!AM7</f>
        <v>17.034768435790525</v>
      </c>
      <c r="CJ7" s="86">
        <f>AN7*'Total Tonnage'!AN7</f>
        <v>17.172750060120432</v>
      </c>
      <c r="CK7" s="86">
        <f>AO7*'Total Tonnage'!AO7</f>
        <v>17.260331085427051</v>
      </c>
      <c r="CL7" s="86">
        <f>AP7*'Total Tonnage'!AP7</f>
        <v>17.348358773962726</v>
      </c>
      <c r="CM7" s="86"/>
      <c r="CN7" s="86"/>
      <c r="CO7" s="86"/>
      <c r="CP7" s="86"/>
      <c r="CU7" s="79">
        <v>6.7649999999999997</v>
      </c>
      <c r="CV7" s="79">
        <v>7.1257999999999999</v>
      </c>
      <c r="CW7" s="79">
        <v>7.486600000000001</v>
      </c>
      <c r="CX7" s="79">
        <v>7.8474000000000013</v>
      </c>
      <c r="CY7" s="79">
        <v>8.6186100000000021</v>
      </c>
      <c r="CZ7" s="79">
        <v>8.9974500000000024</v>
      </c>
      <c r="DA7" s="79">
        <v>9.3762900000000027</v>
      </c>
      <c r="DB7" s="79">
        <v>9.755130000000003</v>
      </c>
      <c r="DC7" s="79">
        <v>10.640668500000004</v>
      </c>
      <c r="DD7" s="79">
        <v>11.038450500000003</v>
      </c>
      <c r="DE7" s="79">
        <v>11.436232500000004</v>
      </c>
      <c r="DF7" s="79">
        <v>11.834014500000006</v>
      </c>
      <c r="DG7" s="79">
        <v>12.843386325000006</v>
      </c>
      <c r="DH7" s="79">
        <v>13.261057425000006</v>
      </c>
      <c r="DI7" s="79">
        <v>13.678728525000006</v>
      </c>
      <c r="DJ7" s="79">
        <v>14.096399625000007</v>
      </c>
      <c r="DK7" s="79">
        <v>15.239774261250007</v>
      </c>
      <c r="DL7" s="79">
        <v>15.678328916250008</v>
      </c>
      <c r="DM7" s="79">
        <v>16.116883571250007</v>
      </c>
      <c r="DN7" s="79">
        <v>16.116883571250007</v>
      </c>
      <c r="DO7" s="80">
        <f t="shared" si="5"/>
        <v>16.149117338392507</v>
      </c>
      <c r="DP7" s="80">
        <f t="shared" si="5"/>
        <v>16.181415573069291</v>
      </c>
      <c r="DQ7" s="80">
        <f t="shared" si="5"/>
        <v>16.213778404215429</v>
      </c>
      <c r="DR7" s="80">
        <f t="shared" si="5"/>
        <v>16.246205961023861</v>
      </c>
      <c r="DS7" s="80">
        <f t="shared" si="6"/>
        <v>16.311190784867957</v>
      </c>
      <c r="DT7" s="80">
        <f t="shared" si="6"/>
        <v>16.376435548007429</v>
      </c>
      <c r="DU7" s="80">
        <f t="shared" si="6"/>
        <v>16.441941290199459</v>
      </c>
      <c r="DV7" s="80">
        <f t="shared" si="6"/>
        <v>16.507709055360255</v>
      </c>
      <c r="DW7" s="80">
        <f t="shared" si="7"/>
        <v>16.606755309692417</v>
      </c>
      <c r="DX7" s="80">
        <f t="shared" si="7"/>
        <v>16.70639584155057</v>
      </c>
      <c r="DY7" s="80">
        <f t="shared" si="7"/>
        <v>16.806634216599875</v>
      </c>
      <c r="DZ7" s="80">
        <f t="shared" si="7"/>
        <v>16.907474021899475</v>
      </c>
      <c r="EA7" s="80">
        <f t="shared" si="8"/>
        <v>17.03258932966153</v>
      </c>
      <c r="EB7" s="80">
        <f t="shared" si="8"/>
        <v>17.158630490701022</v>
      </c>
      <c r="EC7" s="80">
        <f t="shared" si="8"/>
        <v>17.285604356332207</v>
      </c>
      <c r="ED7" s="80">
        <f t="shared" si="8"/>
        <v>17.413517828569063</v>
      </c>
      <c r="EE7" s="80">
        <f t="shared" si="9"/>
        <v>17.554567322980471</v>
      </c>
      <c r="EF7" s="80">
        <f t="shared" si="9"/>
        <v>17.696759318296614</v>
      </c>
      <c r="EG7" s="80">
        <f t="shared" si="10"/>
        <v>17.787012790819929</v>
      </c>
      <c r="EH7" s="80">
        <f t="shared" si="10"/>
        <v>17.877726556053112</v>
      </c>
    </row>
    <row r="8" spans="1:138">
      <c r="A8" s="109"/>
      <c r="B8" s="47" t="s">
        <v>18</v>
      </c>
      <c r="C8" s="20">
        <v>0.2</v>
      </c>
      <c r="D8" s="20">
        <v>0.20799999999999996</v>
      </c>
      <c r="E8" s="20">
        <v>0.21599999999999989</v>
      </c>
      <c r="F8" s="20">
        <v>0.22400000000000006</v>
      </c>
      <c r="G8" s="20">
        <v>0.23311004784688999</v>
      </c>
      <c r="H8" s="20">
        <v>0.24114832535885178</v>
      </c>
      <c r="I8" s="20">
        <v>0.24918660287081348</v>
      </c>
      <c r="J8" s="20">
        <v>0.25722488038277525</v>
      </c>
      <c r="K8" s="20">
        <v>0.26653235960715199</v>
      </c>
      <c r="L8" s="20">
        <v>0.27460909777706571</v>
      </c>
      <c r="M8" s="20">
        <v>0.28268583594697938</v>
      </c>
      <c r="N8" s="20">
        <v>0.2907625741168931</v>
      </c>
      <c r="O8" s="20">
        <v>0.30026916545564319</v>
      </c>
      <c r="P8" s="20">
        <v>0.3083845483057957</v>
      </c>
      <c r="Q8" s="20">
        <v>0.31649993115594821</v>
      </c>
      <c r="R8" s="20">
        <v>0.32461531400610077</v>
      </c>
      <c r="S8" s="20">
        <v>0.33432270975987172</v>
      </c>
      <c r="T8" s="20">
        <v>0.34247692219303932</v>
      </c>
      <c r="U8" s="20">
        <v>0.35063113462620693</v>
      </c>
      <c r="V8" s="20">
        <v>0.35878534705937454</v>
      </c>
      <c r="W8" s="20">
        <v>0.34402193086458693</v>
      </c>
      <c r="X8" s="20">
        <v>0.34470997472631609</v>
      </c>
      <c r="Y8" s="20">
        <v>0.34539939467576874</v>
      </c>
      <c r="Z8" s="20">
        <v>0.34609019346512027</v>
      </c>
      <c r="AA8" s="20">
        <v>0.33251153515691939</v>
      </c>
      <c r="AB8" s="20">
        <v>0.3338415812975471</v>
      </c>
      <c r="AC8" s="20">
        <v>0.33517694762273725</v>
      </c>
      <c r="AD8" s="20">
        <v>0.3365176554132282</v>
      </c>
      <c r="AE8" s="20">
        <v>0.32395862329732789</v>
      </c>
      <c r="AF8" s="20">
        <v>0.32590237503711189</v>
      </c>
      <c r="AG8" s="20">
        <v>0.32785778928733456</v>
      </c>
      <c r="AH8" s="20">
        <v>0.32982493602305857</v>
      </c>
      <c r="AI8" s="20">
        <v>0.31795755076519527</v>
      </c>
      <c r="AJ8" s="20">
        <v>0.32031043664085768</v>
      </c>
      <c r="AK8" s="20">
        <v>0.32268073387199997</v>
      </c>
      <c r="AL8" s="20">
        <v>0.32506857130265271</v>
      </c>
      <c r="AM8" s="20">
        <v>0.31359007342603284</v>
      </c>
      <c r="AN8" s="20">
        <v>0.31613015302078368</v>
      </c>
      <c r="AO8" s="20">
        <v>0.3177424168011897</v>
      </c>
      <c r="AP8" s="20">
        <v>0.31936290312687582</v>
      </c>
      <c r="AQ8" s="20"/>
      <c r="AR8" s="20"/>
      <c r="AS8" s="20"/>
      <c r="AT8" s="20"/>
      <c r="AW8" s="109"/>
      <c r="AX8" s="47" t="s">
        <v>18</v>
      </c>
      <c r="AY8" s="86">
        <f>C8*'Total Tonnage'!C8</f>
        <v>16.055999999999997</v>
      </c>
      <c r="AZ8" s="86">
        <f>D8*'Total Tonnage'!D8</f>
        <v>16.698239999999995</v>
      </c>
      <c r="BA8" s="86">
        <f>E8*'Total Tonnage'!E8</f>
        <v>17.340479999999989</v>
      </c>
      <c r="BB8" s="86">
        <f>F8*'Total Tonnage'!F8</f>
        <v>17.98272</v>
      </c>
      <c r="BC8" s="86">
        <f>G8*'Total Tonnage'!G8</f>
        <v>19.093018334928232</v>
      </c>
      <c r="BD8" s="86">
        <f>H8*'Total Tonnage'!H8</f>
        <v>19.751398277511967</v>
      </c>
      <c r="BE8" s="86">
        <f>I8*'Total Tonnage'!I8</f>
        <v>20.409778220095699</v>
      </c>
      <c r="BF8" s="86">
        <f>J8*'Total Tonnage'!J8</f>
        <v>21.068158162679435</v>
      </c>
      <c r="BG8" s="86">
        <f>K8*'Total Tonnage'!K8</f>
        <v>22.27243333689248</v>
      </c>
      <c r="BH8" s="86">
        <f>L8*'Total Tonnage'!L8</f>
        <v>22.947355559222558</v>
      </c>
      <c r="BI8" s="86">
        <f>M8*'Total Tonnage'!M8</f>
        <v>23.622277781552629</v>
      </c>
      <c r="BJ8" s="86">
        <f>N8*'Total Tonnage'!N8</f>
        <v>24.297200003882708</v>
      </c>
      <c r="BK8" s="86">
        <f>O8*'Total Tonnage'!O8</f>
        <v>25.599443569217144</v>
      </c>
      <c r="BL8" s="86">
        <f>P8*'Total Tonnage'!P8</f>
        <v>26.291320422439227</v>
      </c>
      <c r="BM8" s="86">
        <f>Q8*'Total Tonnage'!Q8</f>
        <v>26.983197275661311</v>
      </c>
      <c r="BN8" s="86">
        <f>R8*'Total Tonnage'!R8</f>
        <v>27.675074128883399</v>
      </c>
      <c r="BO8" s="86">
        <f>S8*'Total Tonnage'!S8</f>
        <v>29.07941803489852</v>
      </c>
      <c r="BP8" s="86">
        <f>T8*'Total Tonnage'!T8</f>
        <v>29.78867213331068</v>
      </c>
      <c r="BQ8" s="86">
        <f>U8*'Total Tonnage'!U8</f>
        <v>30.49792623172284</v>
      </c>
      <c r="BR8" s="86">
        <f>V8*'Total Tonnage'!V8</f>
        <v>31.207180330134999</v>
      </c>
      <c r="BS8" s="86">
        <f>W8*'Total Tonnage'!W8</f>
        <v>29.923057120378253</v>
      </c>
      <c r="BT8" s="86">
        <f>X8*'Total Tonnage'!X8</f>
        <v>29.982903234619009</v>
      </c>
      <c r="BU8" s="86">
        <f>Y8*'Total Tonnage'!Y8</f>
        <v>30.042869041088249</v>
      </c>
      <c r="BV8" s="86">
        <f>Z8*'Total Tonnage'!Z8</f>
        <v>30.102954779170425</v>
      </c>
      <c r="BW8" s="86">
        <f>AA8*'Total Tonnage'!AA8</f>
        <v>28.921881912236465</v>
      </c>
      <c r="BX8" s="86">
        <f>AB8*'Total Tonnage'!AB8</f>
        <v>29.037569439885413</v>
      </c>
      <c r="BY8" s="86">
        <f>AC8*'Total Tonnage'!AC8</f>
        <v>29.153719717644954</v>
      </c>
      <c r="BZ8" s="86">
        <f>AD8*'Total Tonnage'!AD8</f>
        <v>29.270334596515532</v>
      </c>
      <c r="CA8" s="86">
        <f>AE8*'Total Tonnage'!AE8</f>
        <v>28.177948903439837</v>
      </c>
      <c r="CB8" s="86">
        <f>AF8*'Total Tonnage'!AF8</f>
        <v>28.347016596860481</v>
      </c>
      <c r="CC8" s="86">
        <f>AG8*'Total Tonnage'!AG8</f>
        <v>28.517098696441643</v>
      </c>
      <c r="CD8" s="86">
        <f>AH8*'Total Tonnage'!AH8</f>
        <v>28.688201288620295</v>
      </c>
      <c r="CE8" s="86">
        <f>AI8*'Total Tonnage'!AI8</f>
        <v>27.655975098713945</v>
      </c>
      <c r="CF8" s="86">
        <f>AJ8*'Total Tonnage'!AJ8</f>
        <v>27.860629314444424</v>
      </c>
      <c r="CG8" s="86">
        <f>AK8*'Total Tonnage'!AK8</f>
        <v>28.066797971371308</v>
      </c>
      <c r="CH8" s="86">
        <f>AL8*'Total Tonnage'!AL8</f>
        <v>28.27449227635945</v>
      </c>
      <c r="CI8" s="86">
        <f>AM8*'Total Tonnage'!AM8</f>
        <v>27.276091544304279</v>
      </c>
      <c r="CJ8" s="86">
        <f>AN8*'Total Tonnage'!AN8</f>
        <v>27.497027885813143</v>
      </c>
      <c r="CK8" s="86">
        <f>AO8*'Total Tonnage'!AO8</f>
        <v>27.637262728030791</v>
      </c>
      <c r="CL8" s="86">
        <f>AP8*'Total Tonnage'!AP8</f>
        <v>27.778212767943753</v>
      </c>
      <c r="CM8" s="86"/>
      <c r="CN8" s="86"/>
      <c r="CO8" s="86"/>
      <c r="CP8" s="86"/>
      <c r="CU8" s="79">
        <v>6.68</v>
      </c>
      <c r="CV8" s="79">
        <v>6.9472000000000005</v>
      </c>
      <c r="CW8" s="79">
        <v>7.2144000000000004</v>
      </c>
      <c r="CX8" s="79">
        <v>7.4816000000000011</v>
      </c>
      <c r="CY8" s="79">
        <v>8.1362400000000008</v>
      </c>
      <c r="CZ8" s="79">
        <v>8.4168000000000021</v>
      </c>
      <c r="DA8" s="79">
        <v>8.6973600000000015</v>
      </c>
      <c r="DB8" s="79">
        <v>8.9779200000000028</v>
      </c>
      <c r="DC8" s="79">
        <v>9.7214040000000033</v>
      </c>
      <c r="DD8" s="79">
        <v>10.015992000000004</v>
      </c>
      <c r="DE8" s="79">
        <v>10.310580000000003</v>
      </c>
      <c r="DF8" s="79">
        <v>10.605168000000004</v>
      </c>
      <c r="DG8" s="79">
        <v>11.444743800000005</v>
      </c>
      <c r="DH8" s="79">
        <v>11.754061200000004</v>
      </c>
      <c r="DI8" s="79">
        <v>12.063378600000005</v>
      </c>
      <c r="DJ8" s="79">
        <v>12.372696000000005</v>
      </c>
      <c r="DK8" s="79">
        <v>13.316114070000006</v>
      </c>
      <c r="DL8" s="79">
        <v>13.640897340000006</v>
      </c>
      <c r="DM8" s="79">
        <v>13.965680610000007</v>
      </c>
      <c r="DN8" s="79">
        <v>14.290463880000006</v>
      </c>
      <c r="DO8" s="80">
        <f t="shared" si="5"/>
        <v>14.319044807760006</v>
      </c>
      <c r="DP8" s="80">
        <f t="shared" si="5"/>
        <v>14.347682897375526</v>
      </c>
      <c r="DQ8" s="80">
        <f t="shared" si="5"/>
        <v>14.376378263170277</v>
      </c>
      <c r="DR8" s="80">
        <f t="shared" si="5"/>
        <v>14.405131019696618</v>
      </c>
      <c r="DS8" s="80">
        <f t="shared" si="6"/>
        <v>14.462751543775404</v>
      </c>
      <c r="DT8" s="80">
        <f t="shared" si="6"/>
        <v>14.520602549950507</v>
      </c>
      <c r="DU8" s="80">
        <f t="shared" si="6"/>
        <v>14.578684960150309</v>
      </c>
      <c r="DV8" s="80">
        <f t="shared" si="6"/>
        <v>14.636999699990909</v>
      </c>
      <c r="DW8" s="80">
        <f t="shared" si="7"/>
        <v>14.724821698190855</v>
      </c>
      <c r="DX8" s="80">
        <f t="shared" si="7"/>
        <v>14.81317062838</v>
      </c>
      <c r="DY8" s="80">
        <f t="shared" si="7"/>
        <v>14.90204965215028</v>
      </c>
      <c r="DZ8" s="80">
        <f t="shared" si="7"/>
        <v>14.991461950063183</v>
      </c>
      <c r="EA8" s="80">
        <f t="shared" si="8"/>
        <v>15.102398768493648</v>
      </c>
      <c r="EB8" s="80">
        <f t="shared" si="8"/>
        <v>15.214156519380499</v>
      </c>
      <c r="EC8" s="80">
        <f t="shared" si="8"/>
        <v>15.326741277623912</v>
      </c>
      <c r="ED8" s="80">
        <f t="shared" si="8"/>
        <v>15.440159163078325</v>
      </c>
      <c r="EE8" s="80">
        <f t="shared" si="9"/>
        <v>15.56522445229926</v>
      </c>
      <c r="EF8" s="80">
        <f t="shared" si="9"/>
        <v>15.691302770362883</v>
      </c>
      <c r="EG8" s="80">
        <f t="shared" si="10"/>
        <v>15.771328414491736</v>
      </c>
      <c r="EH8" s="80">
        <f t="shared" si="10"/>
        <v>15.851762189405646</v>
      </c>
    </row>
    <row r="9" spans="1:138">
      <c r="A9" s="107">
        <v>2</v>
      </c>
      <c r="B9" s="48" t="s">
        <v>20</v>
      </c>
      <c r="C9" s="20">
        <v>0.54999999999999993</v>
      </c>
      <c r="D9" s="20">
        <v>0.55799999999999994</v>
      </c>
      <c r="E9" s="20">
        <v>0.56599999999999995</v>
      </c>
      <c r="F9" s="20">
        <v>0.57399999999999995</v>
      </c>
      <c r="G9" s="20">
        <v>0.5847846889952153</v>
      </c>
      <c r="H9" s="20">
        <v>0.59282296650717714</v>
      </c>
      <c r="I9" s="20">
        <v>0.60086124401913876</v>
      </c>
      <c r="J9" s="20">
        <v>0.60889952153110061</v>
      </c>
      <c r="K9" s="20">
        <v>0.61988965454087619</v>
      </c>
      <c r="L9" s="20">
        <v>0.62796639271078991</v>
      </c>
      <c r="M9" s="20">
        <v>0.63604313088070352</v>
      </c>
      <c r="N9" s="20">
        <v>0.64411986905061724</v>
      </c>
      <c r="O9" s="20">
        <v>0.65531716514981586</v>
      </c>
      <c r="P9" s="20">
        <v>0.66343254799996831</v>
      </c>
      <c r="Q9" s="20">
        <v>0.67154793085012088</v>
      </c>
      <c r="R9" s="20">
        <v>0.67966331370027344</v>
      </c>
      <c r="S9" s="20">
        <v>0.69106950371095432</v>
      </c>
      <c r="T9" s="20">
        <v>0.69922371614412193</v>
      </c>
      <c r="U9" s="20">
        <v>0.70737792857728954</v>
      </c>
      <c r="V9" s="20">
        <v>0.71553214101045715</v>
      </c>
      <c r="W9" s="20">
        <v>0.68608919166744309</v>
      </c>
      <c r="X9" s="20">
        <v>0.68746137005077801</v>
      </c>
      <c r="Y9" s="20">
        <v>0.68883629279087955</v>
      </c>
      <c r="Z9" s="20">
        <v>0.6902139653764614</v>
      </c>
      <c r="AA9" s="20">
        <v>0.66313380022771984</v>
      </c>
      <c r="AB9" s="20">
        <v>0.66578633542863086</v>
      </c>
      <c r="AC9" s="20">
        <v>0.66844948077034527</v>
      </c>
      <c r="AD9" s="20">
        <v>0.67112327869342669</v>
      </c>
      <c r="AE9" s="20">
        <v>0.64607657259864815</v>
      </c>
      <c r="AF9" s="20">
        <v>0.64995303203424004</v>
      </c>
      <c r="AG9" s="20">
        <v>0.65385275022644551</v>
      </c>
      <c r="AH9" s="20">
        <v>0.65777586672780408</v>
      </c>
      <c r="AI9" s="20">
        <v>0.63410852453740651</v>
      </c>
      <c r="AJ9" s="20">
        <v>0.63880092761898322</v>
      </c>
      <c r="AK9" s="20">
        <v>0.6435280544833637</v>
      </c>
      <c r="AL9" s="20">
        <v>0.64829016208654044</v>
      </c>
      <c r="AM9" s="20">
        <v>0.62539838507123591</v>
      </c>
      <c r="AN9" s="20">
        <v>0.63046411199031283</v>
      </c>
      <c r="AO9" s="20">
        <v>0.63367947896146348</v>
      </c>
      <c r="AP9" s="20">
        <v>0.63691124430416701</v>
      </c>
      <c r="AQ9" s="20"/>
      <c r="AR9" s="20"/>
      <c r="AS9" s="20"/>
      <c r="AT9" s="20"/>
      <c r="AW9" s="107">
        <v>2</v>
      </c>
      <c r="AX9" s="48" t="s">
        <v>20</v>
      </c>
      <c r="AY9" s="86">
        <f>C9*'Total Tonnage'!C9</f>
        <v>15.537499999999998</v>
      </c>
      <c r="AZ9" s="86">
        <f>D9*'Total Tonnage'!D9</f>
        <v>15.763499999999999</v>
      </c>
      <c r="BA9" s="86">
        <f>E9*'Total Tonnage'!E9</f>
        <v>15.989499999999998</v>
      </c>
      <c r="BB9" s="86">
        <f>F9*'Total Tonnage'!F9</f>
        <v>16.215499999999999</v>
      </c>
      <c r="BC9" s="86">
        <f>G9*'Total Tonnage'!G9</f>
        <v>16.932440669856458</v>
      </c>
      <c r="BD9" s="86">
        <f>H9*'Total Tonnage'!H9</f>
        <v>17.165188995215313</v>
      </c>
      <c r="BE9" s="86">
        <f>I9*'Total Tonnage'!I9</f>
        <v>17.397937320574162</v>
      </c>
      <c r="BF9" s="86">
        <f>J9*'Total Tonnage'!J9</f>
        <v>17.630685645933017</v>
      </c>
      <c r="BG9" s="86">
        <f>K9*'Total Tonnage'!K9</f>
        <v>18.394667597811413</v>
      </c>
      <c r="BH9" s="86">
        <f>L9*'Total Tonnage'!L9</f>
        <v>18.634337533939249</v>
      </c>
      <c r="BI9" s="86">
        <f>M9*'Total Tonnage'!M9</f>
        <v>18.874007470067081</v>
      </c>
      <c r="BJ9" s="86">
        <f>N9*'Total Tonnage'!N9</f>
        <v>19.113677406194917</v>
      </c>
      <c r="BK9" s="86">
        <f>O9*'Total Tonnage'!O9</f>
        <v>19.926610435300567</v>
      </c>
      <c r="BL9" s="86">
        <f>P9*'Total Tonnage'!P9</f>
        <v>20.173379604777971</v>
      </c>
      <c r="BM9" s="86">
        <f>Q9*'Total Tonnage'!Q9</f>
        <v>20.420148774255384</v>
      </c>
      <c r="BN9" s="86">
        <f>R9*'Total Tonnage'!R9</f>
        <v>20.666917943732788</v>
      </c>
      <c r="BO9" s="86">
        <f>S9*'Total Tonnage'!S9</f>
        <v>21.530777384345484</v>
      </c>
      <c r="BP9" s="86">
        <f>T9*'Total Tonnage'!T9</f>
        <v>21.784827854957232</v>
      </c>
      <c r="BQ9" s="86">
        <f>U9*'Total Tonnage'!U9</f>
        <v>22.038878325568977</v>
      </c>
      <c r="BR9" s="86">
        <f>V9*'Total Tonnage'!V9</f>
        <v>22.292928796180725</v>
      </c>
      <c r="BS9" s="86">
        <f>W9*'Total Tonnage'!W9</f>
        <v>21.463110045978521</v>
      </c>
      <c r="BT9" s="86">
        <f>X9*'Total Tonnage'!X9</f>
        <v>21.558672797783327</v>
      </c>
      <c r="BU9" s="86">
        <f>Y9*'Total Tonnage'!Y9</f>
        <v>21.654637431764723</v>
      </c>
      <c r="BV9" s="86">
        <f>Z9*'Total Tonnage'!Z9</f>
        <v>21.75100559555678</v>
      </c>
      <c r="BW9" s="86">
        <f>AA9*'Total Tonnage'!AA9</f>
        <v>21.034127605502412</v>
      </c>
      <c r="BX9" s="86">
        <f>AB9*'Total Tonnage'!AB9</f>
        <v>21.221379189780126</v>
      </c>
      <c r="BY9" s="86">
        <f>AC9*'Total Tonnage'!AC9</f>
        <v>21.410206350826968</v>
      </c>
      <c r="BZ9" s="86">
        <f>AD9*'Total Tonnage'!AD9</f>
        <v>21.600622016738615</v>
      </c>
      <c r="CA9" s="86">
        <f>AE9*'Total Tonnage'!AE9</f>
        <v>20.980497494319106</v>
      </c>
      <c r="CB9" s="86">
        <f>AF9*'Total Tonnage'!AF9</f>
        <v>21.260316789506163</v>
      </c>
      <c r="CC9" s="86">
        <f>AG9*'Total Tonnage'!AG9</f>
        <v>21.543667777894175</v>
      </c>
      <c r="CD9" s="86">
        <f>AH9*'Total Tonnage'!AH9</f>
        <v>21.830593949671467</v>
      </c>
      <c r="CE9" s="86">
        <f>AI9*'Total Tonnage'!AI9</f>
        <v>21.26808473010168</v>
      </c>
      <c r="CF9" s="86">
        <f>AJ9*'Total Tonnage'!AJ9</f>
        <v>21.617106912477663</v>
      </c>
      <c r="CG9" s="86">
        <f>AK9*'Total Tonnage'!AK9</f>
        <v>21.971558600779094</v>
      </c>
      <c r="CH9" s="86">
        <f>AL9*'Total Tonnage'!AL9</f>
        <v>22.236996428605373</v>
      </c>
      <c r="CI9" s="86">
        <f>AM9*'Total Tonnage'!AM9</f>
        <v>21.695889802950404</v>
      </c>
      <c r="CJ9" s="86">
        <f>AN9*'Total Tonnage'!AN9</f>
        <v>21.871626510354297</v>
      </c>
      <c r="CK9" s="86">
        <f>AO9*'Total Tonnage'!AO9</f>
        <v>21.983171805557106</v>
      </c>
      <c r="CL9" s="86">
        <f>AP9*'Total Tonnage'!AP9</f>
        <v>22.09528598176545</v>
      </c>
      <c r="CM9" s="86"/>
      <c r="CN9" s="86"/>
      <c r="CO9" s="86"/>
      <c r="CP9" s="86"/>
      <c r="CU9" s="79">
        <v>11.055</v>
      </c>
      <c r="CV9" s="79">
        <v>11.2158</v>
      </c>
      <c r="CW9" s="79">
        <v>11.3766</v>
      </c>
      <c r="CX9" s="79">
        <v>11.5374</v>
      </c>
      <c r="CY9" s="79">
        <v>12.283110000000001</v>
      </c>
      <c r="CZ9" s="79">
        <v>12.451950000000002</v>
      </c>
      <c r="DA9" s="79">
        <v>12.620790000000001</v>
      </c>
      <c r="DB9" s="79">
        <v>12.789630000000002</v>
      </c>
      <c r="DC9" s="79">
        <v>13.606393500000003</v>
      </c>
      <c r="DD9" s="79">
        <v>13.783675500000003</v>
      </c>
      <c r="DE9" s="79">
        <v>13.960957500000003</v>
      </c>
      <c r="DF9" s="79">
        <v>14.138239500000003</v>
      </c>
      <c r="DG9" s="79">
        <v>15.031297575000004</v>
      </c>
      <c r="DH9" s="79">
        <v>15.217443675000004</v>
      </c>
      <c r="DI9" s="79">
        <v>15.403589775000004</v>
      </c>
      <c r="DJ9" s="79">
        <v>15.589735875000004</v>
      </c>
      <c r="DK9" s="79">
        <v>16.564676073750007</v>
      </c>
      <c r="DL9" s="79">
        <v>16.760129478750006</v>
      </c>
      <c r="DM9" s="79">
        <v>16.955582883750008</v>
      </c>
      <c r="DN9" s="79">
        <v>17.151036288750007</v>
      </c>
      <c r="DO9" s="80">
        <f t="shared" si="5"/>
        <v>17.185338361327506</v>
      </c>
      <c r="DP9" s="80">
        <f t="shared" si="5"/>
        <v>17.219709038050162</v>
      </c>
      <c r="DQ9" s="80">
        <f t="shared" si="5"/>
        <v>17.254148456126263</v>
      </c>
      <c r="DR9" s="80">
        <f t="shared" si="5"/>
        <v>17.288656753038516</v>
      </c>
      <c r="DS9" s="80">
        <f t="shared" si="6"/>
        <v>17.35781138005067</v>
      </c>
      <c r="DT9" s="80">
        <f t="shared" si="6"/>
        <v>17.427242625570873</v>
      </c>
      <c r="DU9" s="80">
        <f t="shared" si="6"/>
        <v>17.496951596073156</v>
      </c>
      <c r="DV9" s="80">
        <f t="shared" si="6"/>
        <v>17.56693940245745</v>
      </c>
      <c r="DW9" s="80">
        <f t="shared" si="7"/>
        <v>17.672341038872194</v>
      </c>
      <c r="DX9" s="80">
        <f t="shared" si="7"/>
        <v>17.778375085105427</v>
      </c>
      <c r="DY9" s="80">
        <f t="shared" si="7"/>
        <v>17.885045335616059</v>
      </c>
      <c r="DZ9" s="80">
        <f t="shared" si="7"/>
        <v>17.992355607629754</v>
      </c>
      <c r="EA9" s="80">
        <f t="shared" si="8"/>
        <v>18.125499039126211</v>
      </c>
      <c r="EB9" s="80">
        <f t="shared" si="8"/>
        <v>18.259627732015744</v>
      </c>
      <c r="EC9" s="80">
        <f t="shared" si="8"/>
        <v>18.394748977232659</v>
      </c>
      <c r="ED9" s="80">
        <f t="shared" si="8"/>
        <v>18.530870119664179</v>
      </c>
      <c r="EE9" s="80">
        <f t="shared" si="9"/>
        <v>18.680970167633458</v>
      </c>
      <c r="EF9" s="80">
        <f t="shared" si="9"/>
        <v>18.832286025991287</v>
      </c>
      <c r="EG9" s="80">
        <f t="shared" si="10"/>
        <v>18.928330684723846</v>
      </c>
      <c r="EH9" s="80">
        <f t="shared" si="10"/>
        <v>19.024865171215939</v>
      </c>
    </row>
    <row r="10" spans="1:138">
      <c r="A10" s="108"/>
      <c r="B10" s="48" t="s">
        <v>19</v>
      </c>
      <c r="C10" s="20">
        <v>0.5</v>
      </c>
      <c r="D10" s="20">
        <v>0.50800000000000001</v>
      </c>
      <c r="E10" s="20">
        <v>0.51600000000000001</v>
      </c>
      <c r="F10" s="20">
        <v>0.52400000000000002</v>
      </c>
      <c r="G10" s="20">
        <v>0.53454545454545477</v>
      </c>
      <c r="H10" s="20">
        <v>0.54258373205741639</v>
      </c>
      <c r="I10" s="20">
        <v>0.55062200956937823</v>
      </c>
      <c r="J10" s="20">
        <v>0.55866028708133986</v>
      </c>
      <c r="K10" s="20">
        <v>0.56941004097891557</v>
      </c>
      <c r="L10" s="20">
        <v>0.57748677914882918</v>
      </c>
      <c r="M10" s="20">
        <v>0.5855635173187429</v>
      </c>
      <c r="N10" s="20">
        <v>0.59364025548865662</v>
      </c>
      <c r="O10" s="20">
        <v>0.60459602233636267</v>
      </c>
      <c r="P10" s="20">
        <v>0.61271140518651512</v>
      </c>
      <c r="Q10" s="20">
        <v>0.62082678803666769</v>
      </c>
      <c r="R10" s="20">
        <v>0.62894217088682014</v>
      </c>
      <c r="S10" s="20">
        <v>0.64010567600365675</v>
      </c>
      <c r="T10" s="20">
        <v>0.64825988843682436</v>
      </c>
      <c r="U10" s="20">
        <v>0.65641410086999197</v>
      </c>
      <c r="V10" s="20">
        <v>0.66456831330315969</v>
      </c>
      <c r="W10" s="20">
        <v>0.63722244012417806</v>
      </c>
      <c r="X10" s="20">
        <v>0.63849688500442636</v>
      </c>
      <c r="Y10" s="20">
        <v>0.63977387877443526</v>
      </c>
      <c r="Z10" s="20">
        <v>0.64105342653198405</v>
      </c>
      <c r="AA10" s="20">
        <v>0.61590204807474835</v>
      </c>
      <c r="AB10" s="20">
        <v>0.61836565626704731</v>
      </c>
      <c r="AC10" s="20">
        <v>0.62083911889211552</v>
      </c>
      <c r="AD10" s="20">
        <v>0.62332247536768393</v>
      </c>
      <c r="AE10" s="20">
        <v>0.60005972269845942</v>
      </c>
      <c r="AF10" s="20">
        <v>0.60366008103465019</v>
      </c>
      <c r="AG10" s="20">
        <v>0.60728204152085807</v>
      </c>
      <c r="AH10" s="20">
        <v>0.61092573376998316</v>
      </c>
      <c r="AI10" s="20">
        <v>0.58894409971280481</v>
      </c>
      <c r="AJ10" s="20">
        <v>0.59330228605067947</v>
      </c>
      <c r="AK10" s="20">
        <v>0.59769272296745446</v>
      </c>
      <c r="AL10" s="20">
        <v>0.60211564911741355</v>
      </c>
      <c r="AM10" s="20">
        <v>0.58085434055049256</v>
      </c>
      <c r="AN10" s="20">
        <v>0.58555926070895148</v>
      </c>
      <c r="AO10" s="20">
        <v>0.58854561293856722</v>
      </c>
      <c r="AP10" s="20">
        <v>0.59154719556455393</v>
      </c>
      <c r="AQ10" s="20"/>
      <c r="AR10" s="20"/>
      <c r="AS10" s="20"/>
      <c r="AT10" s="20"/>
      <c r="AW10" s="108"/>
      <c r="AX10" s="48" t="s">
        <v>19</v>
      </c>
      <c r="AY10" s="86">
        <f>C10*'Total Tonnage'!C10</f>
        <v>16.549999999999997</v>
      </c>
      <c r="AZ10" s="86">
        <f>D10*'Total Tonnage'!D10</f>
        <v>16.814799999999998</v>
      </c>
      <c r="BA10" s="86">
        <f>E10*'Total Tonnage'!E10</f>
        <v>17.079600000000003</v>
      </c>
      <c r="BB10" s="86">
        <f>F10*'Total Tonnage'!F10</f>
        <v>17.344399999999993</v>
      </c>
      <c r="BC10" s="86">
        <f>G10*'Total Tonnage'!G10</f>
        <v>18.357360000000007</v>
      </c>
      <c r="BD10" s="86">
        <f>H10*'Total Tonnage'!H10</f>
        <v>18.633410526315792</v>
      </c>
      <c r="BE10" s="86">
        <f>I10*'Total Tonnage'!I10</f>
        <v>18.909461052631588</v>
      </c>
      <c r="BF10" s="86">
        <f>J10*'Total Tonnage'!J10</f>
        <v>19.185511578947374</v>
      </c>
      <c r="BG10" s="86">
        <f>K10*'Total Tonnage'!K10</f>
        <v>20.276031043611649</v>
      </c>
      <c r="BH10" s="86">
        <f>L10*'Total Tonnage'!L10</f>
        <v>20.563634320825994</v>
      </c>
      <c r="BI10" s="86">
        <f>M10*'Total Tonnage'!M10</f>
        <v>20.851237598040345</v>
      </c>
      <c r="BJ10" s="86">
        <f>N10*'Total Tonnage'!N10</f>
        <v>21.138840875254697</v>
      </c>
      <c r="BK10" s="86">
        <f>O10*'Total Tonnage'!O10</f>
        <v>22.310207977447298</v>
      </c>
      <c r="BL10" s="86">
        <f>P10*'Total Tonnage'!P10</f>
        <v>22.609673856339207</v>
      </c>
      <c r="BM10" s="86">
        <f>Q10*'Total Tonnage'!Q10</f>
        <v>22.909139735231118</v>
      </c>
      <c r="BN10" s="86">
        <f>R10*'Total Tonnage'!R10</f>
        <v>23.208605614123027</v>
      </c>
      <c r="BO10" s="86">
        <f>S10*'Total Tonnage'!S10</f>
        <v>24.464222602148148</v>
      </c>
      <c r="BP10" s="86">
        <f>T10*'Total Tonnage'!T10</f>
        <v>24.775868749946216</v>
      </c>
      <c r="BQ10" s="86">
        <f>U10*'Total Tonnage'!U10</f>
        <v>25.087514897744281</v>
      </c>
      <c r="BR10" s="86">
        <f>V10*'Total Tonnage'!V10</f>
        <v>25.39916104554235</v>
      </c>
      <c r="BS10" s="86">
        <f>W10*'Total Tonnage'!W10</f>
        <v>24.497194394850439</v>
      </c>
      <c r="BT10" s="86">
        <f>X10*'Total Tonnage'!X10</f>
        <v>24.632313980537671</v>
      </c>
      <c r="BU10" s="86">
        <f>Y10*'Total Tonnage'!Y10</f>
        <v>24.768048650684666</v>
      </c>
      <c r="BV10" s="86">
        <f>Z10*'Total Tonnage'!Z10</f>
        <v>24.904401016220856</v>
      </c>
      <c r="BW10" s="86">
        <f>AA10*'Total Tonnage'!AA10</f>
        <v>24.150652809827768</v>
      </c>
      <c r="BX10" s="86">
        <f>AB10*'Total Tonnage'!AB10</f>
        <v>24.415974858878322</v>
      </c>
      <c r="BY10" s="86">
        <f>AC10*'Total Tonnage'!AC10</f>
        <v>24.683710651138579</v>
      </c>
      <c r="BZ10" s="86">
        <f>AD10*'Total Tonnage'!AD10</f>
        <v>24.953880682860753</v>
      </c>
      <c r="CA10" s="86">
        <f>AE10*'Total Tonnage'!AE10</f>
        <v>24.326963121246546</v>
      </c>
      <c r="CB10" s="86">
        <f>AF10*'Total Tonnage'!AF10</f>
        <v>24.724799303473908</v>
      </c>
      <c r="CC10" s="86">
        <f>AG10*'Total Tonnage'!AG10</f>
        <v>25.128054063115137</v>
      </c>
      <c r="CD10" s="86">
        <f>AH10*'Total Tonnage'!AH10</f>
        <v>25.536796399494769</v>
      </c>
      <c r="CE10" s="86">
        <f>AI10*'Total Tonnage'!AI10</f>
        <v>24.982796629370203</v>
      </c>
      <c r="CF10" s="86">
        <f>AJ10*'Total Tonnage'!AJ10</f>
        <v>25.481232748014762</v>
      </c>
      <c r="CG10" s="86">
        <f>AK10*'Total Tonnage'!AK10</f>
        <v>25.988015203339462</v>
      </c>
      <c r="CH10" s="86">
        <f>AL10*'Total Tonnage'!AL10</f>
        <v>26.348609442143232</v>
      </c>
      <c r="CI10" s="86">
        <f>AM10*'Total Tonnage'!AM10</f>
        <v>25.817622679708606</v>
      </c>
      <c r="CJ10" s="86">
        <f>AN10*'Total Tonnage'!AN10</f>
        <v>26.026745423414241</v>
      </c>
      <c r="CK10" s="86">
        <f>AO10*'Total Tonnage'!AO10</f>
        <v>26.159481825073659</v>
      </c>
      <c r="CL10" s="86">
        <f>AP10*'Total Tonnage'!AP10</f>
        <v>26.292895182381535</v>
      </c>
      <c r="CM10" s="86"/>
      <c r="CN10" s="86"/>
      <c r="CO10" s="86"/>
      <c r="CP10" s="86"/>
      <c r="CU10" s="79">
        <v>4.7050000000000001</v>
      </c>
      <c r="CV10" s="79">
        <v>4.7802800000000003</v>
      </c>
      <c r="CW10" s="79">
        <v>4.8555600000000005</v>
      </c>
      <c r="CX10" s="79">
        <v>4.9308399999999999</v>
      </c>
      <c r="CY10" s="79">
        <v>5.2564260000000012</v>
      </c>
      <c r="CZ10" s="79">
        <v>5.3354700000000008</v>
      </c>
      <c r="DA10" s="79">
        <v>5.4145140000000014</v>
      </c>
      <c r="DB10" s="79">
        <v>5.4935580000000011</v>
      </c>
      <c r="DC10" s="79">
        <v>5.8512321000000016</v>
      </c>
      <c r="DD10" s="79">
        <v>5.9342283000000018</v>
      </c>
      <c r="DE10" s="79">
        <v>6.017224500000002</v>
      </c>
      <c r="DF10" s="79">
        <v>6.1002207000000022</v>
      </c>
      <c r="DG10" s="79">
        <v>6.4923777450000024</v>
      </c>
      <c r="DH10" s="79">
        <v>6.5795237550000021</v>
      </c>
      <c r="DI10" s="79">
        <v>6.6666697650000026</v>
      </c>
      <c r="DJ10" s="79">
        <v>6.7538157750000023</v>
      </c>
      <c r="DK10" s="79">
        <v>7.1830098742500033</v>
      </c>
      <c r="DL10" s="79">
        <v>7.2745131847500035</v>
      </c>
      <c r="DM10" s="79">
        <v>7.3660164952500038</v>
      </c>
      <c r="DN10" s="79">
        <v>7.4575198057500041</v>
      </c>
      <c r="DO10" s="80">
        <f t="shared" si="5"/>
        <v>7.4724348453615042</v>
      </c>
      <c r="DP10" s="80">
        <f t="shared" si="5"/>
        <v>7.487379715052227</v>
      </c>
      <c r="DQ10" s="80">
        <f t="shared" si="5"/>
        <v>7.5023544744823312</v>
      </c>
      <c r="DR10" s="80">
        <f t="shared" si="5"/>
        <v>7.5173591834312958</v>
      </c>
      <c r="DS10" s="80">
        <f t="shared" si="6"/>
        <v>7.5474286201650207</v>
      </c>
      <c r="DT10" s="80">
        <f t="shared" si="6"/>
        <v>7.5776183346456811</v>
      </c>
      <c r="DU10" s="80">
        <f t="shared" si="6"/>
        <v>7.6079288079842637</v>
      </c>
      <c r="DV10" s="80">
        <f t="shared" si="6"/>
        <v>7.6383605232162006</v>
      </c>
      <c r="DW10" s="80">
        <f t="shared" si="7"/>
        <v>7.6841906863554978</v>
      </c>
      <c r="DX10" s="80">
        <f t="shared" si="7"/>
        <v>7.7302958304736311</v>
      </c>
      <c r="DY10" s="80">
        <f t="shared" si="7"/>
        <v>7.7766776054564728</v>
      </c>
      <c r="DZ10" s="80">
        <f t="shared" si="7"/>
        <v>7.8233376710892113</v>
      </c>
      <c r="EA10" s="80">
        <f t="shared" si="8"/>
        <v>7.8812303698552704</v>
      </c>
      <c r="EB10" s="80">
        <f t="shared" si="8"/>
        <v>7.9395514745921982</v>
      </c>
      <c r="EC10" s="80">
        <f t="shared" si="8"/>
        <v>7.9983041555041794</v>
      </c>
      <c r="ED10" s="80">
        <f t="shared" si="8"/>
        <v>8.05749160625491</v>
      </c>
      <c r="EE10" s="80">
        <f t="shared" si="9"/>
        <v>8.122757288265575</v>
      </c>
      <c r="EF10" s="80">
        <f t="shared" si="9"/>
        <v>8.1885516223005261</v>
      </c>
      <c r="EG10" s="80">
        <f t="shared" si="10"/>
        <v>8.2303132355742594</v>
      </c>
      <c r="EH10" s="80">
        <f t="shared" si="10"/>
        <v>8.2722878330756888</v>
      </c>
    </row>
    <row r="11" spans="1:138">
      <c r="A11" s="108"/>
      <c r="B11" s="48" t="s">
        <v>21</v>
      </c>
      <c r="C11" s="20">
        <v>0.5</v>
      </c>
      <c r="D11" s="20">
        <v>0.50800000000000001</v>
      </c>
      <c r="E11" s="20">
        <v>0.51600000000000001</v>
      </c>
      <c r="F11" s="20">
        <v>0.52400000000000002</v>
      </c>
      <c r="G11" s="20">
        <v>0.53454545454545466</v>
      </c>
      <c r="H11" s="20">
        <v>0.54258373205741639</v>
      </c>
      <c r="I11" s="20">
        <v>0.55062200956937812</v>
      </c>
      <c r="J11" s="20">
        <v>0.55866028708133986</v>
      </c>
      <c r="K11" s="20">
        <v>0.56941004097891545</v>
      </c>
      <c r="L11" s="20">
        <v>0.57748677914882918</v>
      </c>
      <c r="M11" s="20">
        <v>0.5855635173187429</v>
      </c>
      <c r="N11" s="20">
        <v>0.59364025548865651</v>
      </c>
      <c r="O11" s="20">
        <v>0.60459602233636256</v>
      </c>
      <c r="P11" s="20">
        <v>0.61271140518651512</v>
      </c>
      <c r="Q11" s="20">
        <v>0.62082678803666758</v>
      </c>
      <c r="R11" s="20">
        <v>0.62894217088682014</v>
      </c>
      <c r="S11" s="20">
        <v>0.63777905005681124</v>
      </c>
      <c r="T11" s="20">
        <v>0.63777905005681124</v>
      </c>
      <c r="U11" s="20">
        <v>0.63777905005681124</v>
      </c>
      <c r="V11" s="20">
        <v>0.63777905005681124</v>
      </c>
      <c r="W11" s="20">
        <v>0.61153551019801422</v>
      </c>
      <c r="X11" s="20">
        <v>0.6127585812184102</v>
      </c>
      <c r="Y11" s="20">
        <v>0.613984098380847</v>
      </c>
      <c r="Z11" s="20">
        <v>0.61521206657760863</v>
      </c>
      <c r="AA11" s="20">
        <v>0.59107455965925271</v>
      </c>
      <c r="AB11" s="20">
        <v>0.59343885789788975</v>
      </c>
      <c r="AC11" s="20">
        <v>0.59581261332948132</v>
      </c>
      <c r="AD11" s="20">
        <v>0.59819586378279921</v>
      </c>
      <c r="AE11" s="20">
        <v>0.57587085068468524</v>
      </c>
      <c r="AF11" s="20">
        <v>0.57932607578879336</v>
      </c>
      <c r="AG11" s="20">
        <v>0.58280203224352611</v>
      </c>
      <c r="AH11" s="20">
        <v>0.58629884443698721</v>
      </c>
      <c r="AI11" s="20">
        <v>0.56520330706777122</v>
      </c>
      <c r="AJ11" s="20">
        <v>0.56938581154007262</v>
      </c>
      <c r="AK11" s="20">
        <v>0.57359926654546911</v>
      </c>
      <c r="AL11" s="20">
        <v>0.57784390111790551</v>
      </c>
      <c r="AM11" s="20">
        <v>0.5574396523607279</v>
      </c>
      <c r="AN11" s="20">
        <v>0.56195491354484983</v>
      </c>
      <c r="AO11" s="20">
        <v>0.56482088360392868</v>
      </c>
      <c r="AP11" s="20">
        <v>0.56770147011030869</v>
      </c>
      <c r="AQ11" s="20"/>
      <c r="AR11" s="20"/>
      <c r="AS11" s="20"/>
      <c r="AT11" s="20"/>
      <c r="AW11" s="108"/>
      <c r="AX11" s="48" t="s">
        <v>21</v>
      </c>
      <c r="AY11" s="86">
        <f>C11*'Total Tonnage'!C11</f>
        <v>22.3</v>
      </c>
      <c r="AZ11" s="86">
        <f>D11*'Total Tonnage'!D11</f>
        <v>22.6568</v>
      </c>
      <c r="BA11" s="86">
        <f>E11*'Total Tonnage'!E11</f>
        <v>23.0136</v>
      </c>
      <c r="BB11" s="86">
        <f>F11*'Total Tonnage'!F11</f>
        <v>23.3704</v>
      </c>
      <c r="BC11" s="86">
        <f>G11*'Total Tonnage'!G11</f>
        <v>23.840727272727278</v>
      </c>
      <c r="BD11" s="86">
        <f>H11*'Total Tonnage'!H11</f>
        <v>24.199234449760773</v>
      </c>
      <c r="BE11" s="86">
        <f>I11*'Total Tonnage'!I11</f>
        <v>24.557741626794265</v>
      </c>
      <c r="BF11" s="86">
        <f>J11*'Total Tonnage'!J11</f>
        <v>24.916248803827759</v>
      </c>
      <c r="BG11" s="86">
        <f>K11*'Total Tonnage'!K11</f>
        <v>25.395687827659629</v>
      </c>
      <c r="BH11" s="86">
        <f>L11*'Total Tonnage'!L11</f>
        <v>25.755910350037784</v>
      </c>
      <c r="BI11" s="86">
        <f>M11*'Total Tonnage'!M11</f>
        <v>26.116132872415935</v>
      </c>
      <c r="BJ11" s="86">
        <f>N11*'Total Tonnage'!N11</f>
        <v>26.47635539479408</v>
      </c>
      <c r="BK11" s="86">
        <f>O11*'Total Tonnage'!O11</f>
        <v>26.964982596201772</v>
      </c>
      <c r="BL11" s="86">
        <f>P11*'Total Tonnage'!P11</f>
        <v>27.326928671318576</v>
      </c>
      <c r="BM11" s="86">
        <f>Q11*'Total Tonnage'!Q11</f>
        <v>27.688874746435374</v>
      </c>
      <c r="BN11" s="86">
        <f>R11*'Total Tonnage'!R11</f>
        <v>28.050820821552179</v>
      </c>
      <c r="BO11" s="86">
        <f>S11*'Total Tonnage'!S11</f>
        <v>28.444945632533781</v>
      </c>
      <c r="BP11" s="86">
        <f>T11*'Total Tonnage'!T11</f>
        <v>28.444945632533781</v>
      </c>
      <c r="BQ11" s="86">
        <f>U11*'Total Tonnage'!U11</f>
        <v>28.444945632533781</v>
      </c>
      <c r="BR11" s="86">
        <f>V11*'Total Tonnage'!V11</f>
        <v>28.444945632533781</v>
      </c>
      <c r="BS11" s="86">
        <f>W11*'Total Tonnage'!W11</f>
        <v>27.274483754831436</v>
      </c>
      <c r="BT11" s="86">
        <f>X11*'Total Tonnage'!X11</f>
        <v>27.329032722341097</v>
      </c>
      <c r="BU11" s="86">
        <f>Y11*'Total Tonnage'!Y11</f>
        <v>27.383690787785778</v>
      </c>
      <c r="BV11" s="86">
        <f>Z11*'Total Tonnage'!Z11</f>
        <v>27.438458169361347</v>
      </c>
      <c r="BW11" s="86">
        <f>AA11*'Total Tonnage'!AA11</f>
        <v>26.361925360802672</v>
      </c>
      <c r="BX11" s="86">
        <f>AB11*'Total Tonnage'!AB11</f>
        <v>26.467373062245883</v>
      </c>
      <c r="BY11" s="86">
        <f>AC11*'Total Tonnage'!AC11</f>
        <v>26.573242554494868</v>
      </c>
      <c r="BZ11" s="86">
        <f>AD11*'Total Tonnage'!AD11</f>
        <v>26.679535524712847</v>
      </c>
      <c r="CA11" s="86">
        <f>AE11*'Total Tonnage'!AE11</f>
        <v>25.683839940536963</v>
      </c>
      <c r="CB11" s="86">
        <f>AF11*'Total Tonnage'!AF11</f>
        <v>25.837942980180184</v>
      </c>
      <c r="CC11" s="86">
        <f>AG11*'Total Tonnage'!AG11</f>
        <v>25.992970638061266</v>
      </c>
      <c r="CD11" s="86">
        <f>AH11*'Total Tonnage'!AH11</f>
        <v>26.148928461889632</v>
      </c>
      <c r="CE11" s="86">
        <f>AI11*'Total Tonnage'!AI11</f>
        <v>25.208067495222597</v>
      </c>
      <c r="CF11" s="86">
        <f>AJ11*'Total Tonnage'!AJ11</f>
        <v>25.394607194687239</v>
      </c>
      <c r="CG11" s="86">
        <f>AK11*'Total Tonnage'!AK11</f>
        <v>25.582527287927924</v>
      </c>
      <c r="CH11" s="86">
        <f>AL11*'Total Tonnage'!AL11</f>
        <v>25.771837989858586</v>
      </c>
      <c r="CI11" s="86">
        <f>AM11*'Total Tonnage'!AM11</f>
        <v>24.861808495288464</v>
      </c>
      <c r="CJ11" s="86">
        <f>AN11*'Total Tonnage'!AN11</f>
        <v>25.063189144100303</v>
      </c>
      <c r="CK11" s="86">
        <f>AO11*'Total Tonnage'!AO11</f>
        <v>25.191011408735221</v>
      </c>
      <c r="CL11" s="86">
        <f>AP11*'Total Tonnage'!AP11</f>
        <v>25.31948556691977</v>
      </c>
      <c r="CM11" s="86"/>
      <c r="CN11" s="86"/>
      <c r="CO11" s="86"/>
      <c r="CP11" s="86"/>
      <c r="CU11" s="79">
        <v>14.2</v>
      </c>
      <c r="CV11" s="79">
        <v>14.427199999999999</v>
      </c>
      <c r="CW11" s="79">
        <v>14.654399999999999</v>
      </c>
      <c r="CX11" s="79">
        <v>14.881600000000001</v>
      </c>
      <c r="CY11" s="79">
        <v>15.864240000000001</v>
      </c>
      <c r="CZ11" s="79">
        <v>16.102800000000002</v>
      </c>
      <c r="DA11" s="79">
        <v>16.341360000000002</v>
      </c>
      <c r="DB11" s="79">
        <v>16.579920000000001</v>
      </c>
      <c r="DC11" s="79">
        <v>17.659404000000002</v>
      </c>
      <c r="DD11" s="79">
        <v>17.909892000000003</v>
      </c>
      <c r="DE11" s="79">
        <v>18.160380000000004</v>
      </c>
      <c r="DF11" s="79">
        <v>18.410868000000001</v>
      </c>
      <c r="DG11" s="79">
        <v>19.594423800000005</v>
      </c>
      <c r="DH11" s="79">
        <v>19.857436200000006</v>
      </c>
      <c r="DI11" s="79">
        <v>20.120448600000003</v>
      </c>
      <c r="DJ11" s="79">
        <v>20.383461000000004</v>
      </c>
      <c r="DK11" s="79">
        <v>21.6</v>
      </c>
      <c r="DL11" s="79">
        <v>21.6</v>
      </c>
      <c r="DM11" s="79">
        <v>21.6</v>
      </c>
      <c r="DN11" s="79">
        <v>21.6</v>
      </c>
      <c r="DO11" s="80">
        <f t="shared" si="5"/>
        <v>21.6432</v>
      </c>
      <c r="DP11" s="80">
        <f t="shared" si="5"/>
        <v>21.6864864</v>
      </c>
      <c r="DQ11" s="80">
        <f t="shared" si="5"/>
        <v>21.7298593728</v>
      </c>
      <c r="DR11" s="80">
        <f t="shared" si="5"/>
        <v>21.773319091545599</v>
      </c>
      <c r="DS11" s="80">
        <f t="shared" si="6"/>
        <v>21.860412367911781</v>
      </c>
      <c r="DT11" s="80">
        <f t="shared" si="6"/>
        <v>21.947854017383428</v>
      </c>
      <c r="DU11" s="80">
        <f t="shared" si="6"/>
        <v>22.035645433452963</v>
      </c>
      <c r="DV11" s="80">
        <f t="shared" si="6"/>
        <v>22.123788015186776</v>
      </c>
      <c r="DW11" s="80">
        <f t="shared" si="7"/>
        <v>22.256530743277896</v>
      </c>
      <c r="DX11" s="80">
        <f t="shared" si="7"/>
        <v>22.390069927737564</v>
      </c>
      <c r="DY11" s="80">
        <f t="shared" si="7"/>
        <v>22.524410347303988</v>
      </c>
      <c r="DZ11" s="80">
        <f t="shared" si="7"/>
        <v>22.659556809387812</v>
      </c>
      <c r="EA11" s="80">
        <f t="shared" si="8"/>
        <v>22.827237529777278</v>
      </c>
      <c r="EB11" s="80">
        <f t="shared" si="8"/>
        <v>22.996159087497627</v>
      </c>
      <c r="EC11" s="80">
        <f t="shared" si="8"/>
        <v>23.166330664745107</v>
      </c>
      <c r="ED11" s="80">
        <f t="shared" si="8"/>
        <v>23.337761511664219</v>
      </c>
      <c r="EE11" s="80">
        <f t="shared" si="9"/>
        <v>23.5267973799087</v>
      </c>
      <c r="EF11" s="80">
        <f t="shared" si="9"/>
        <v>23.717364438685962</v>
      </c>
      <c r="EG11" s="80">
        <f t="shared" si="10"/>
        <v>23.838322997323264</v>
      </c>
      <c r="EH11" s="80">
        <f t="shared" si="10"/>
        <v>23.959898444609614</v>
      </c>
    </row>
    <row r="12" spans="1:138">
      <c r="A12" s="109"/>
      <c r="B12" s="49" t="s">
        <v>22</v>
      </c>
      <c r="C12" s="20">
        <v>0.44999999999999996</v>
      </c>
      <c r="D12" s="20">
        <v>0.45800000000000002</v>
      </c>
      <c r="E12" s="20">
        <v>0.46600000000000003</v>
      </c>
      <c r="F12" s="20">
        <v>0.47400000000000003</v>
      </c>
      <c r="G12" s="20">
        <v>0.48430622009569391</v>
      </c>
      <c r="H12" s="20">
        <v>0.49234449760765564</v>
      </c>
      <c r="I12" s="20">
        <v>0.50038277511961748</v>
      </c>
      <c r="J12" s="20">
        <v>0.508421052631579</v>
      </c>
      <c r="K12" s="20">
        <v>0.51893042741695483</v>
      </c>
      <c r="L12" s="20">
        <v>0.52700716558686855</v>
      </c>
      <c r="M12" s="20">
        <v>0.53508390375678228</v>
      </c>
      <c r="N12" s="20">
        <v>0.543160641926696</v>
      </c>
      <c r="O12" s="20">
        <v>0.55387487952290926</v>
      </c>
      <c r="P12" s="20">
        <v>0.56199026237306182</v>
      </c>
      <c r="Q12" s="20">
        <v>0.57010564522321439</v>
      </c>
      <c r="R12" s="20">
        <v>0.57822102807336695</v>
      </c>
      <c r="S12" s="20">
        <v>0.5891418482963594</v>
      </c>
      <c r="T12" s="20">
        <v>0.59729606072952701</v>
      </c>
      <c r="U12" s="20">
        <v>0.60545027316269451</v>
      </c>
      <c r="V12" s="20">
        <v>0.61360448559586211</v>
      </c>
      <c r="W12" s="20">
        <v>0.58835568858091292</v>
      </c>
      <c r="X12" s="20">
        <v>0.58953239995807472</v>
      </c>
      <c r="Y12" s="20">
        <v>0.59071146475799086</v>
      </c>
      <c r="Z12" s="20">
        <v>0.59189288768750681</v>
      </c>
      <c r="AA12" s="20">
        <v>0.56867029592177687</v>
      </c>
      <c r="AB12" s="20">
        <v>0.57094497710546399</v>
      </c>
      <c r="AC12" s="20">
        <v>0.57322875701388587</v>
      </c>
      <c r="AD12" s="20">
        <v>0.57552167204194138</v>
      </c>
      <c r="AE12" s="20">
        <v>0.55404287279827091</v>
      </c>
      <c r="AF12" s="20">
        <v>0.55736713003506055</v>
      </c>
      <c r="AG12" s="20">
        <v>0.56071133281527086</v>
      </c>
      <c r="AH12" s="20">
        <v>0.56407560081216246</v>
      </c>
      <c r="AI12" s="20">
        <v>0.54377967488820345</v>
      </c>
      <c r="AJ12" s="20">
        <v>0.54780364448237595</v>
      </c>
      <c r="AK12" s="20">
        <v>0.55185739145154544</v>
      </c>
      <c r="AL12" s="20">
        <v>0.55594113614828677</v>
      </c>
      <c r="AM12" s="20">
        <v>0.53631029602974922</v>
      </c>
      <c r="AN12" s="20">
        <v>0.54065440942759013</v>
      </c>
      <c r="AO12" s="20">
        <v>0.54341174691567096</v>
      </c>
      <c r="AP12" s="20">
        <v>0.54618314682494096</v>
      </c>
      <c r="AQ12" s="20"/>
      <c r="AR12" s="20"/>
      <c r="AS12" s="20"/>
      <c r="AT12" s="20"/>
      <c r="AW12" s="109"/>
      <c r="AX12" s="49" t="s">
        <v>22</v>
      </c>
      <c r="AY12" s="86">
        <f>C12*'Total Tonnage'!C12</f>
        <v>14.579999999999998</v>
      </c>
      <c r="AZ12" s="86">
        <f>D12*'Total Tonnage'!D12</f>
        <v>14.8392</v>
      </c>
      <c r="BA12" s="86">
        <f>E12*'Total Tonnage'!E12</f>
        <v>15.0984</v>
      </c>
      <c r="BB12" s="86">
        <f>F12*'Total Tonnage'!F12</f>
        <v>15.3576</v>
      </c>
      <c r="BC12" s="86">
        <f>G12*'Total Tonnage'!G12</f>
        <v>16.073154832535892</v>
      </c>
      <c r="BD12" s="86">
        <f>H12*'Total Tonnage'!H12</f>
        <v>16.339929186602877</v>
      </c>
      <c r="BE12" s="86">
        <f>I12*'Total Tonnage'!I12</f>
        <v>16.606703540669866</v>
      </c>
      <c r="BF12" s="86">
        <f>J12*'Total Tonnage'!J12</f>
        <v>16.873477894736844</v>
      </c>
      <c r="BG12" s="86">
        <f>K12*'Total Tonnage'!K12</f>
        <v>17.639358545454552</v>
      </c>
      <c r="BH12" s="86">
        <f>L12*'Total Tonnage'!L12</f>
        <v>17.9139010909091</v>
      </c>
      <c r="BI12" s="86">
        <f>M12*'Total Tonnage'!M12</f>
        <v>18.188443636363644</v>
      </c>
      <c r="BJ12" s="86">
        <f>N12*'Total Tonnage'!N12</f>
        <v>18.462986181818192</v>
      </c>
      <c r="BK12" s="86">
        <f>O12*'Total Tonnage'!O12</f>
        <v>19.281268097400289</v>
      </c>
      <c r="BL12" s="86">
        <f>P12*'Total Tonnage'!P12</f>
        <v>19.563777520072822</v>
      </c>
      <c r="BM12" s="86">
        <f>Q12*'Total Tonnage'!Q12</f>
        <v>19.846286942745355</v>
      </c>
      <c r="BN12" s="86">
        <f>R12*'Total Tonnage'!R12</f>
        <v>20.128796365417891</v>
      </c>
      <c r="BO12" s="86">
        <f>S12*'Total Tonnage'!S12</f>
        <v>21.001626747799623</v>
      </c>
      <c r="BP12" s="86">
        <f>T12*'Total Tonnage'!T12</f>
        <v>21.292306702786462</v>
      </c>
      <c r="BQ12" s="86">
        <f>U12*'Total Tonnage'!U12</f>
        <v>21.582986657773311</v>
      </c>
      <c r="BR12" s="86">
        <f>V12*'Total Tonnage'!V12</f>
        <v>21.873666612760157</v>
      </c>
      <c r="BS12" s="86">
        <f>W12*'Total Tonnage'!W12</f>
        <v>21.057469477333452</v>
      </c>
      <c r="BT12" s="86">
        <f>X12*'Total Tonnage'!X12</f>
        <v>21.150037038720111</v>
      </c>
      <c r="BU12" s="86">
        <f>Y12*'Total Tonnage'!Y12</f>
        <v>21.242991747529757</v>
      </c>
      <c r="BV12" s="86">
        <f>Z12*'Total Tonnage'!Z12</f>
        <v>21.336335186914486</v>
      </c>
      <c r="BW12" s="86">
        <f>AA12*'Total Tonnage'!AA12</f>
        <v>20.630062680533964</v>
      </c>
      <c r="BX12" s="86">
        <f>AB12*'Total Tonnage'!AB12</f>
        <v>20.811419722340077</v>
      </c>
      <c r="BY12" s="86">
        <f>AC12*'Total Tonnage'!AC12</f>
        <v>20.994294468030745</v>
      </c>
      <c r="BZ12" s="86">
        <f>AD12*'Total Tonnage'!AD12</f>
        <v>21.178699339303648</v>
      </c>
      <c r="CA12" s="86">
        <f>AE12*'Total Tonnage'!AE12</f>
        <v>20.566603046110149</v>
      </c>
      <c r="CB12" s="86">
        <f>AF12*'Total Tonnage'!AF12</f>
        <v>20.8375520998346</v>
      </c>
      <c r="CC12" s="86">
        <f>AG12*'Total Tonnage'!AG12</f>
        <v>21.111902752886451</v>
      </c>
      <c r="CD12" s="86">
        <f>AH12*'Total Tonnage'!AH12</f>
        <v>21.389696789654291</v>
      </c>
      <c r="CE12" s="86">
        <f>AI12*'Total Tonnage'!AI12</f>
        <v>20.833800140805348</v>
      </c>
      <c r="CF12" s="86">
        <f>AJ12*'Total Tonnage'!AJ12</f>
        <v>21.171657470569155</v>
      </c>
      <c r="CG12" s="86">
        <f>AK12*'Total Tonnage'!AK12</f>
        <v>21.514743573973853</v>
      </c>
      <c r="CH12" s="86">
        <f>AL12*'Total Tonnage'!AL12</f>
        <v>21.772533756618003</v>
      </c>
      <c r="CI12" s="86">
        <f>AM12*'Total Tonnage'!AM12</f>
        <v>21.237699806275256</v>
      </c>
      <c r="CJ12" s="86">
        <f>AN12*'Total Tonnage'!AN12</f>
        <v>21.409725174706082</v>
      </c>
      <c r="CK12" s="86">
        <f>AO12*'Total Tonnage'!AO12</f>
        <v>21.518914773097087</v>
      </c>
      <c r="CL12" s="86">
        <f>AP12*'Total Tonnage'!AP12</f>
        <v>21.628661238439886</v>
      </c>
      <c r="CM12" s="86"/>
      <c r="CN12" s="86"/>
      <c r="CO12" s="86"/>
      <c r="CP12" s="86"/>
      <c r="CU12" s="79">
        <v>6.0749999999999993</v>
      </c>
      <c r="CV12" s="79">
        <v>6.1829999999999998</v>
      </c>
      <c r="CW12" s="79">
        <v>6.2909999999999995</v>
      </c>
      <c r="CX12" s="79">
        <v>6.399</v>
      </c>
      <c r="CY12" s="79">
        <v>6.8323499999999999</v>
      </c>
      <c r="CZ12" s="79">
        <v>6.9457500000000003</v>
      </c>
      <c r="DA12" s="79">
        <v>7.0591500000000007</v>
      </c>
      <c r="DB12" s="79">
        <v>7.1725500000000002</v>
      </c>
      <c r="DC12" s="79">
        <v>7.6502475000000008</v>
      </c>
      <c r="DD12" s="79">
        <v>7.7693175000000005</v>
      </c>
      <c r="DE12" s="79">
        <v>7.8883875000000012</v>
      </c>
      <c r="DF12" s="79">
        <v>8.007457500000001</v>
      </c>
      <c r="DG12" s="79">
        <v>8.5328538750000007</v>
      </c>
      <c r="DH12" s="79">
        <v>8.6578773750000018</v>
      </c>
      <c r="DI12" s="79">
        <v>8.7829008750000011</v>
      </c>
      <c r="DJ12" s="79">
        <v>8.9079243750000021</v>
      </c>
      <c r="DK12" s="79">
        <v>9.4845952687500041</v>
      </c>
      <c r="DL12" s="79">
        <v>9.6158699437500044</v>
      </c>
      <c r="DM12" s="79">
        <v>9.7471446187500028</v>
      </c>
      <c r="DN12" s="79">
        <v>9.878419293750003</v>
      </c>
      <c r="DO12" s="80">
        <f t="shared" si="5"/>
        <v>9.8981761323375039</v>
      </c>
      <c r="DP12" s="80">
        <f t="shared" si="5"/>
        <v>9.9179724846021795</v>
      </c>
      <c r="DQ12" s="80">
        <f t="shared" si="5"/>
        <v>9.9378084295713833</v>
      </c>
      <c r="DR12" s="80">
        <f t="shared" si="5"/>
        <v>9.9576840464305256</v>
      </c>
      <c r="DS12" s="80">
        <f t="shared" si="6"/>
        <v>9.997514782616248</v>
      </c>
      <c r="DT12" s="80">
        <f t="shared" si="6"/>
        <v>10.037504841746713</v>
      </c>
      <c r="DU12" s="80">
        <f t="shared" si="6"/>
        <v>10.0776548611137</v>
      </c>
      <c r="DV12" s="80">
        <f t="shared" si="6"/>
        <v>10.117965480558155</v>
      </c>
      <c r="DW12" s="80">
        <f t="shared" si="7"/>
        <v>10.178673273441504</v>
      </c>
      <c r="DX12" s="80">
        <f t="shared" si="7"/>
        <v>10.239745313082153</v>
      </c>
      <c r="DY12" s="80">
        <f t="shared" si="7"/>
        <v>10.301183784960646</v>
      </c>
      <c r="DZ12" s="80">
        <f t="shared" si="7"/>
        <v>10.36299088767041</v>
      </c>
      <c r="EA12" s="80">
        <f t="shared" si="8"/>
        <v>10.43967702023917</v>
      </c>
      <c r="EB12" s="80">
        <f t="shared" si="8"/>
        <v>10.516930630188938</v>
      </c>
      <c r="EC12" s="80">
        <f t="shared" si="8"/>
        <v>10.594755916852334</v>
      </c>
      <c r="ED12" s="80">
        <f t="shared" si="8"/>
        <v>10.673157110637039</v>
      </c>
      <c r="EE12" s="80">
        <f t="shared" si="9"/>
        <v>10.759609683233199</v>
      </c>
      <c r="EF12" s="80">
        <f t="shared" si="9"/>
        <v>10.846762521667388</v>
      </c>
      <c r="EG12" s="80">
        <f t="shared" si="10"/>
        <v>10.902081010527894</v>
      </c>
      <c r="EH12" s="80">
        <f t="shared" si="10"/>
        <v>10.957681623681587</v>
      </c>
    </row>
    <row r="13" spans="1:138">
      <c r="A13" s="107">
        <v>3</v>
      </c>
      <c r="B13" s="50" t="s">
        <v>24</v>
      </c>
      <c r="C13" s="19"/>
      <c r="D13" s="19"/>
      <c r="E13" s="19"/>
      <c r="F13" s="19"/>
      <c r="G13" s="19"/>
      <c r="H13" s="19"/>
      <c r="I13" s="19"/>
      <c r="J13" s="19"/>
      <c r="K13" s="20">
        <v>0.49083266655686908</v>
      </c>
      <c r="L13" s="20">
        <v>0.49797205079769569</v>
      </c>
      <c r="M13" s="20">
        <v>0.50511143503852296</v>
      </c>
      <c r="N13" s="20">
        <v>0.51225081927935012</v>
      </c>
      <c r="O13" s="20">
        <v>0.52187532411118309</v>
      </c>
      <c r="P13" s="20">
        <v>0.52904886808522</v>
      </c>
      <c r="Q13" s="20">
        <v>0.53622241205925691</v>
      </c>
      <c r="R13" s="20">
        <v>0.54339595603329383</v>
      </c>
      <c r="S13" s="20">
        <v>0.5532038038351168</v>
      </c>
      <c r="T13" s="20">
        <v>0.56041167098606293</v>
      </c>
      <c r="U13" s="20">
        <v>0.56761953813700916</v>
      </c>
      <c r="V13" s="20">
        <v>0.5748274052879554</v>
      </c>
      <c r="W13" s="20">
        <v>0.5511742201899823</v>
      </c>
      <c r="X13" s="20">
        <v>0.55227656863036223</v>
      </c>
      <c r="Y13" s="20">
        <v>0.553381121767623</v>
      </c>
      <c r="Z13" s="20">
        <v>0.55448788401115823</v>
      </c>
      <c r="AA13" s="20">
        <v>0.53273285698296891</v>
      </c>
      <c r="AB13" s="20">
        <v>0.53486378841090088</v>
      </c>
      <c r="AC13" s="20">
        <v>0.53700324356454443</v>
      </c>
      <c r="AD13" s="20">
        <v>0.53915125653880258</v>
      </c>
      <c r="AE13" s="20">
        <v>0.51902982208424475</v>
      </c>
      <c r="AF13" s="20">
        <v>0.52214400101675018</v>
      </c>
      <c r="AG13" s="20">
        <v>0.52527686502285076</v>
      </c>
      <c r="AH13" s="20">
        <v>0.52842852621298786</v>
      </c>
      <c r="AI13" s="20">
        <v>0.50941521273393686</v>
      </c>
      <c r="AJ13" s="20">
        <v>0.51318488530816797</v>
      </c>
      <c r="AK13" s="20">
        <v>0.51698245345944827</v>
      </c>
      <c r="AL13" s="20">
        <v>0.52080812361504825</v>
      </c>
      <c r="AM13" s="20">
        <v>0.50241786547017231</v>
      </c>
      <c r="AN13" s="20">
        <v>0.50648745018048069</v>
      </c>
      <c r="AO13" s="20">
        <v>0.5090705361764013</v>
      </c>
      <c r="AP13" s="20">
        <v>0.51166679591090103</v>
      </c>
      <c r="AQ13" s="20"/>
      <c r="AR13" s="20"/>
      <c r="AS13" s="20"/>
      <c r="AT13" s="20"/>
      <c r="AW13" s="107">
        <v>3</v>
      </c>
      <c r="AX13" s="50" t="s">
        <v>24</v>
      </c>
      <c r="AY13" s="87">
        <f>'Aglis Total Tonnage'!C13</f>
        <v>0</v>
      </c>
      <c r="AZ13" s="87">
        <f>'Aglis Total Tonnage'!D13</f>
        <v>0</v>
      </c>
      <c r="BA13" s="87">
        <f>'Aglis Total Tonnage'!E13</f>
        <v>0</v>
      </c>
      <c r="BB13" s="87">
        <f>'Aglis Total Tonnage'!F13</f>
        <v>0</v>
      </c>
      <c r="BC13" s="87">
        <f>'Aglis Total Tonnage'!G13</f>
        <v>0</v>
      </c>
      <c r="BD13" s="87">
        <f>'Aglis Total Tonnage'!H13</f>
        <v>0</v>
      </c>
      <c r="BE13" s="87">
        <f>'Aglis Total Tonnage'!I13</f>
        <v>0</v>
      </c>
      <c r="BF13" s="87">
        <f>'Aglis Total Tonnage'!J13</f>
        <v>0</v>
      </c>
      <c r="BG13" s="86">
        <f>K13*'Total Tonnage'!K13</f>
        <v>14.749664362253357</v>
      </c>
      <c r="BH13" s="86">
        <f>L13*'Total Tonnage'!L13</f>
        <v>14.964204934795207</v>
      </c>
      <c r="BI13" s="86">
        <f>M13*'Total Tonnage'!M13</f>
        <v>15.178745507337077</v>
      </c>
      <c r="BJ13" s="86">
        <f>N13*'Total Tonnage'!N13</f>
        <v>15.393286079878942</v>
      </c>
      <c r="BK13" s="86">
        <f>O13*'Total Tonnage'!O13</f>
        <v>16.046255384935435</v>
      </c>
      <c r="BL13" s="86">
        <f>P13*'Total Tonnage'!P13</f>
        <v>16.266822469264444</v>
      </c>
      <c r="BM13" s="86">
        <f>Q13*'Total Tonnage'!Q13</f>
        <v>16.487389553593456</v>
      </c>
      <c r="BN13" s="86">
        <f>R13*'Total Tonnage'!R13</f>
        <v>16.707956637922464</v>
      </c>
      <c r="BO13" s="86">
        <f>S13*'Total Tonnage'!S13</f>
        <v>17.402819437446951</v>
      </c>
      <c r="BP13" s="86">
        <f>T13*'Total Tonnage'!T13</f>
        <v>17.629566270508146</v>
      </c>
      <c r="BQ13" s="86">
        <f>U13*'Total Tonnage'!U13</f>
        <v>17.856313103569349</v>
      </c>
      <c r="BR13" s="86">
        <f>V13*'Total Tonnage'!V13</f>
        <v>18.083059936630548</v>
      </c>
      <c r="BS13" s="86">
        <f>W13*'Total Tonnage'!W13</f>
        <v>17.405768705532477</v>
      </c>
      <c r="BT13" s="86">
        <f>X13*'Total Tonnage'!X13</f>
        <v>17.480763258488274</v>
      </c>
      <c r="BU13" s="86">
        <f>Y13*'Total Tonnage'!Y13</f>
        <v>17.55606869334423</v>
      </c>
      <c r="BV13" s="86">
        <f>Z13*'Total Tonnage'!Z13</f>
        <v>17.631686276078888</v>
      </c>
      <c r="BW13" s="86">
        <f>AA13*'Total Tonnage'!AA13</f>
        <v>17.04412981528785</v>
      </c>
      <c r="BX13" s="86">
        <f>AB13*'Total Tonnage'!AB13</f>
        <v>17.19102494462469</v>
      </c>
      <c r="BY13" s="86">
        <f>AC13*'Total Tonnage'!AC13</f>
        <v>17.339138662857238</v>
      </c>
      <c r="BZ13" s="86">
        <f>AD13*'Total Tonnage'!AD13</f>
        <v>17.488480902504243</v>
      </c>
      <c r="CA13" s="86">
        <f>AE13*'Total Tonnage'!AE13</f>
        <v>16.977811798699527</v>
      </c>
      <c r="CB13" s="86">
        <f>AF13*'Total Tonnage'!AF13</f>
        <v>17.197194488737953</v>
      </c>
      <c r="CC13" s="86">
        <f>AG13*'Total Tonnage'!AG13</f>
        <v>17.419307895317065</v>
      </c>
      <c r="CD13" s="86">
        <f>AH13*'Total Tonnage'!AH13</f>
        <v>17.644185426700037</v>
      </c>
      <c r="CE13" s="86">
        <f>AI13*'Total Tonnage'!AI13</f>
        <v>17.17955227633453</v>
      </c>
      <c r="CF13" s="86">
        <f>AJ13*'Total Tonnage'!AJ13</f>
        <v>17.45297872943307</v>
      </c>
      <c r="CG13" s="86">
        <f>AK13*'Total Tonnage'!AK13</f>
        <v>17.730601756490778</v>
      </c>
      <c r="CH13" s="86">
        <f>AL13*'Total Tonnage'!AL13</f>
        <v>17.940323158504654</v>
      </c>
      <c r="CI13" s="86">
        <f>AM13*'Total Tonnage'!AM13</f>
        <v>17.493182694330876</v>
      </c>
      <c r="CJ13" s="86">
        <f>AN13*'Total Tonnage'!AN13</f>
        <v>17.634877474154955</v>
      </c>
      <c r="CK13" s="86">
        <f>AO13*'Total Tonnage'!AO13</f>
        <v>17.72481534927315</v>
      </c>
      <c r="CL13" s="86">
        <f>AP13*'Total Tonnage'!AP13</f>
        <v>17.815211907554446</v>
      </c>
      <c r="CM13" s="86"/>
      <c r="CN13" s="86"/>
      <c r="CO13" s="86"/>
      <c r="CP13" s="86"/>
      <c r="CU13" s="81">
        <v>0</v>
      </c>
      <c r="CV13" s="81">
        <v>0</v>
      </c>
      <c r="CW13" s="81">
        <v>0</v>
      </c>
      <c r="CX13" s="81">
        <v>0</v>
      </c>
      <c r="CY13" s="81">
        <v>0</v>
      </c>
      <c r="CZ13" s="81">
        <v>0</v>
      </c>
      <c r="DA13" s="81">
        <v>0</v>
      </c>
      <c r="DB13" s="81">
        <v>0</v>
      </c>
      <c r="DC13" s="79">
        <v>11.952834402137844</v>
      </c>
      <c r="DD13" s="79">
        <v>12.126693811623484</v>
      </c>
      <c r="DE13" s="79">
        <v>12.300553221109126</v>
      </c>
      <c r="DF13" s="79">
        <v>12.474412630594768</v>
      </c>
      <c r="DG13" s="79">
        <v>13.28068564208443</v>
      </c>
      <c r="DH13" s="79">
        <v>13.463238022044354</v>
      </c>
      <c r="DI13" s="79">
        <v>13.645790402004279</v>
      </c>
      <c r="DJ13" s="79">
        <v>13.828342781964201</v>
      </c>
      <c r="DK13" s="79">
        <v>14.711439920020332</v>
      </c>
      <c r="DL13" s="79">
        <v>14.903119918978252</v>
      </c>
      <c r="DM13" s="79">
        <v>15.094799917936173</v>
      </c>
      <c r="DN13" s="79">
        <v>15.286479916894093</v>
      </c>
      <c r="DO13" s="80">
        <f t="shared" si="5"/>
        <v>15.317052876727882</v>
      </c>
      <c r="DP13" s="80">
        <f t="shared" si="5"/>
        <v>15.347686982481337</v>
      </c>
      <c r="DQ13" s="80">
        <f t="shared" si="5"/>
        <v>15.3783823564463</v>
      </c>
      <c r="DR13" s="80">
        <f t="shared" si="5"/>
        <v>15.409139121159193</v>
      </c>
      <c r="DS13" s="80">
        <f t="shared" si="6"/>
        <v>15.470775677643829</v>
      </c>
      <c r="DT13" s="80">
        <f t="shared" si="6"/>
        <v>15.532658780354405</v>
      </c>
      <c r="DU13" s="80">
        <f t="shared" si="6"/>
        <v>15.594789415475823</v>
      </c>
      <c r="DV13" s="80">
        <f t="shared" si="6"/>
        <v>15.657168573137726</v>
      </c>
      <c r="DW13" s="80">
        <f t="shared" si="7"/>
        <v>15.751111584576552</v>
      </c>
      <c r="DX13" s="80">
        <f t="shared" si="7"/>
        <v>15.845618254084012</v>
      </c>
      <c r="DY13" s="80">
        <f t="shared" si="7"/>
        <v>15.940691963608517</v>
      </c>
      <c r="DZ13" s="80">
        <f t="shared" si="7"/>
        <v>16.036336115390167</v>
      </c>
      <c r="EA13" s="80">
        <f t="shared" si="8"/>
        <v>16.155005002644053</v>
      </c>
      <c r="EB13" s="80">
        <f t="shared" si="8"/>
        <v>16.274552039663618</v>
      </c>
      <c r="EC13" s="80">
        <f t="shared" si="8"/>
        <v>16.394983724757125</v>
      </c>
      <c r="ED13" s="80">
        <f t="shared" si="8"/>
        <v>16.516306604320327</v>
      </c>
      <c r="EE13" s="80">
        <f t="shared" si="9"/>
        <v>16.650088687815323</v>
      </c>
      <c r="EF13" s="80">
        <f t="shared" si="9"/>
        <v>16.784954406186628</v>
      </c>
      <c r="EG13" s="80">
        <f t="shared" si="10"/>
        <v>16.870557673658183</v>
      </c>
      <c r="EH13" s="80">
        <f t="shared" si="10"/>
        <v>16.956597517793842</v>
      </c>
    </row>
    <row r="14" spans="1:138">
      <c r="A14" s="108"/>
      <c r="B14" s="50" t="s">
        <v>25</v>
      </c>
      <c r="C14" s="19"/>
      <c r="D14" s="19"/>
      <c r="E14" s="19"/>
      <c r="F14" s="19"/>
      <c r="G14" s="19"/>
      <c r="H14" s="19"/>
      <c r="I14" s="19"/>
      <c r="J14" s="19"/>
      <c r="K14" s="20">
        <v>0.57520092852193672</v>
      </c>
      <c r="L14" s="20">
        <v>0.58177465341933032</v>
      </c>
      <c r="M14" s="20">
        <v>0.58834837831672382</v>
      </c>
      <c r="N14" s="20">
        <v>0.59492210321411765</v>
      </c>
      <c r="O14" s="20">
        <v>0.60437379858094431</v>
      </c>
      <c r="P14" s="20">
        <v>0.61097897670751189</v>
      </c>
      <c r="Q14" s="20">
        <v>0.61758415483407969</v>
      </c>
      <c r="R14" s="20">
        <v>0.62418933296064727</v>
      </c>
      <c r="S14" s="20">
        <v>0.63381266664265634</v>
      </c>
      <c r="T14" s="20">
        <v>0.64044944849231777</v>
      </c>
      <c r="U14" s="20">
        <v>0.64708623034197899</v>
      </c>
      <c r="V14" s="20">
        <v>0.65372301219164031</v>
      </c>
      <c r="W14" s="20">
        <v>0.62682340499141032</v>
      </c>
      <c r="X14" s="20">
        <v>0.62807705180139317</v>
      </c>
      <c r="Y14" s="20">
        <v>0.62933320590499586</v>
      </c>
      <c r="Z14" s="20">
        <v>0.63059187231680591</v>
      </c>
      <c r="AA14" s="20">
        <v>0.60585094718284493</v>
      </c>
      <c r="AB14" s="20">
        <v>0.60827435097157645</v>
      </c>
      <c r="AC14" s="20">
        <v>0.61070744837546276</v>
      </c>
      <c r="AD14" s="20">
        <v>0.61315027816896461</v>
      </c>
      <c r="AE14" s="20">
        <v>0.59026715773969229</v>
      </c>
      <c r="AF14" s="20">
        <v>0.59380876068613042</v>
      </c>
      <c r="AG14" s="20">
        <v>0.59737161325024735</v>
      </c>
      <c r="AH14" s="20">
        <v>0.6009558429297488</v>
      </c>
      <c r="AI14" s="20">
        <v>0.57933293413151088</v>
      </c>
      <c r="AJ14" s="20">
        <v>0.58361999784408392</v>
      </c>
      <c r="AK14" s="20">
        <v>0.58793878582813008</v>
      </c>
      <c r="AL14" s="20">
        <v>0.59228953284325814</v>
      </c>
      <c r="AM14" s="20">
        <v>0.57137519431510875</v>
      </c>
      <c r="AN14" s="20">
        <v>0.57600333338906107</v>
      </c>
      <c r="AO14" s="20">
        <v>0.57894095038934534</v>
      </c>
      <c r="AP14" s="20">
        <v>0.58189354923633108</v>
      </c>
      <c r="AQ14" s="20"/>
      <c r="AR14" s="20"/>
      <c r="AS14" s="20"/>
      <c r="AT14" s="20"/>
      <c r="AW14" s="108"/>
      <c r="AX14" s="50" t="s">
        <v>25</v>
      </c>
      <c r="AY14" s="87">
        <f>'Aglis Total Tonnage'!C14</f>
        <v>0</v>
      </c>
      <c r="AZ14" s="87">
        <f>'Aglis Total Tonnage'!D14</f>
        <v>0</v>
      </c>
      <c r="BA14" s="87">
        <f>'Aglis Total Tonnage'!E14</f>
        <v>0</v>
      </c>
      <c r="BB14" s="87">
        <f>'Aglis Total Tonnage'!F14</f>
        <v>0</v>
      </c>
      <c r="BC14" s="87">
        <f>'Aglis Total Tonnage'!G14</f>
        <v>0</v>
      </c>
      <c r="BD14" s="87">
        <f>'Aglis Total Tonnage'!H14</f>
        <v>0</v>
      </c>
      <c r="BE14" s="87">
        <f>'Aglis Total Tonnage'!I14</f>
        <v>0</v>
      </c>
      <c r="BF14" s="87">
        <f>'Aglis Total Tonnage'!J14</f>
        <v>0</v>
      </c>
      <c r="BG14" s="86">
        <f>K14*'Total Tonnage'!K14</f>
        <v>24.691378763822911</v>
      </c>
      <c r="BH14" s="86">
        <f>L14*'Total Tonnage'!L14</f>
        <v>24.973565949695175</v>
      </c>
      <c r="BI14" s="86">
        <f>M14*'Total Tonnage'!M14</f>
        <v>25.255753135567431</v>
      </c>
      <c r="BJ14" s="86">
        <f>N14*'Total Tonnage'!N14</f>
        <v>25.537940321439706</v>
      </c>
      <c r="BK14" s="86">
        <f>O14*'Total Tonnage'!O14</f>
        <v>25.943668787251262</v>
      </c>
      <c r="BL14" s="86">
        <f>P14*'Total Tonnage'!P14</f>
        <v>26.227206151046349</v>
      </c>
      <c r="BM14" s="86">
        <f>Q14*'Total Tonnage'!Q14</f>
        <v>26.510743514841451</v>
      </c>
      <c r="BN14" s="86">
        <f>R14*'Total Tonnage'!R14</f>
        <v>26.794280878636542</v>
      </c>
      <c r="BO14" s="86">
        <f>S14*'Total Tonnage'!S14</f>
        <v>27.207377181390648</v>
      </c>
      <c r="BP14" s="86">
        <f>T14*'Total Tonnage'!T14</f>
        <v>27.492271183290029</v>
      </c>
      <c r="BQ14" s="86">
        <f>U14*'Total Tonnage'!U14</f>
        <v>27.777165185189403</v>
      </c>
      <c r="BR14" s="86">
        <f>V14*'Total Tonnage'!V14</f>
        <v>28.062059187088781</v>
      </c>
      <c r="BS14" s="86">
        <f>W14*'Total Tonnage'!W14</f>
        <v>26.907352445419107</v>
      </c>
      <c r="BT14" s="86">
        <f>X14*'Total Tonnage'!X14</f>
        <v>26.961167150309947</v>
      </c>
      <c r="BU14" s="86">
        <f>Y14*'Total Tonnage'!Y14</f>
        <v>27.015089484610563</v>
      </c>
      <c r="BV14" s="86">
        <f>Z14*'Total Tonnage'!Z14</f>
        <v>27.069119663579787</v>
      </c>
      <c r="BW14" s="86">
        <f>AA14*'Total Tonnage'!AA14</f>
        <v>26.007077648070908</v>
      </c>
      <c r="BX14" s="86">
        <f>AB14*'Total Tonnage'!AB14</f>
        <v>26.111105958663199</v>
      </c>
      <c r="BY14" s="86">
        <f>AC14*'Total Tonnage'!AC14</f>
        <v>26.215550382497852</v>
      </c>
      <c r="BZ14" s="86">
        <f>AD14*'Total Tonnage'!AD14</f>
        <v>26.320412584027842</v>
      </c>
      <c r="CA14" s="86">
        <f>AE14*'Total Tonnage'!AE14</f>
        <v>25.338119674193312</v>
      </c>
      <c r="CB14" s="86">
        <f>AF14*'Total Tonnage'!AF14</f>
        <v>25.490148392238471</v>
      </c>
      <c r="CC14" s="86">
        <f>AG14*'Total Tonnage'!AG14</f>
        <v>25.643089282591909</v>
      </c>
      <c r="CD14" s="86">
        <f>AH14*'Total Tonnage'!AH14</f>
        <v>25.796947818287457</v>
      </c>
      <c r="CE14" s="86">
        <f>AI14*'Total Tonnage'!AI14</f>
        <v>24.868751418318453</v>
      </c>
      <c r="CF14" s="86">
        <f>AJ14*'Total Tonnage'!AJ14</f>
        <v>25.052780178814004</v>
      </c>
      <c r="CG14" s="86">
        <f>AK14*'Total Tonnage'!AK14</f>
        <v>25.238170752137222</v>
      </c>
      <c r="CH14" s="86">
        <f>AL14*'Total Tonnage'!AL14</f>
        <v>25.424933215703035</v>
      </c>
      <c r="CI14" s="86">
        <f>AM14*'Total Tonnage'!AM14</f>
        <v>24.527153277272951</v>
      </c>
      <c r="CJ14" s="86">
        <f>AN14*'Total Tonnage'!AN14</f>
        <v>24.72582321881886</v>
      </c>
      <c r="CK14" s="86">
        <f>AO14*'Total Tonnage'!AO14</f>
        <v>24.85192491723484</v>
      </c>
      <c r="CL14" s="86">
        <f>AP14*'Total Tonnage'!AP14</f>
        <v>24.978669734312739</v>
      </c>
      <c r="CM14" s="86"/>
      <c r="CN14" s="86"/>
      <c r="CO14" s="86"/>
      <c r="CP14" s="86"/>
      <c r="CU14" s="81">
        <v>0</v>
      </c>
      <c r="CV14" s="81">
        <v>0</v>
      </c>
      <c r="CW14" s="81">
        <v>0</v>
      </c>
      <c r="CX14" s="81">
        <v>0</v>
      </c>
      <c r="CY14" s="81">
        <v>0</v>
      </c>
      <c r="CZ14" s="81">
        <v>0</v>
      </c>
      <c r="DA14" s="81">
        <v>0</v>
      </c>
      <c r="DB14" s="81">
        <v>0</v>
      </c>
      <c r="DC14" s="79">
        <v>10.489834359285103</v>
      </c>
      <c r="DD14" s="79">
        <v>10.609718180534077</v>
      </c>
      <c r="DE14" s="79">
        <v>10.729602001783048</v>
      </c>
      <c r="DF14" s="79">
        <v>10.849485823032023</v>
      </c>
      <c r="DG14" s="79">
        <v>11.517838126495047</v>
      </c>
      <c r="DH14" s="79">
        <v>11.643716138806466</v>
      </c>
      <c r="DI14" s="79">
        <v>11.769594151117889</v>
      </c>
      <c r="DJ14" s="79">
        <v>11.895472163429309</v>
      </c>
      <c r="DK14" s="79">
        <v>12.622417684527768</v>
      </c>
      <c r="DL14" s="79">
        <v>12.754589597454762</v>
      </c>
      <c r="DM14" s="79">
        <v>12.886761510381753</v>
      </c>
      <c r="DN14" s="79">
        <v>13.018933423308745</v>
      </c>
      <c r="DO14" s="80">
        <f t="shared" si="5"/>
        <v>13.044971290155363</v>
      </c>
      <c r="DP14" s="80">
        <f t="shared" si="5"/>
        <v>13.071061232735675</v>
      </c>
      <c r="DQ14" s="80">
        <f t="shared" si="5"/>
        <v>13.097203355201145</v>
      </c>
      <c r="DR14" s="80">
        <f t="shared" si="5"/>
        <v>13.123397761911548</v>
      </c>
      <c r="DS14" s="80">
        <f t="shared" si="6"/>
        <v>13.175891352959194</v>
      </c>
      <c r="DT14" s="80">
        <f t="shared" si="6"/>
        <v>13.228594918371032</v>
      </c>
      <c r="DU14" s="80">
        <f t="shared" si="6"/>
        <v>13.281509298044517</v>
      </c>
      <c r="DV14" s="80">
        <f t="shared" si="6"/>
        <v>13.334635335236696</v>
      </c>
      <c r="DW14" s="80">
        <f t="shared" si="7"/>
        <v>13.414643147248116</v>
      </c>
      <c r="DX14" s="80">
        <f t="shared" si="7"/>
        <v>13.495131006131604</v>
      </c>
      <c r="DY14" s="80">
        <f t="shared" si="7"/>
        <v>13.576101792168394</v>
      </c>
      <c r="DZ14" s="80">
        <f t="shared" si="7"/>
        <v>13.657558402921405</v>
      </c>
      <c r="EA14" s="80">
        <f t="shared" si="8"/>
        <v>13.75862433510302</v>
      </c>
      <c r="EB14" s="80">
        <f t="shared" si="8"/>
        <v>13.860438155182781</v>
      </c>
      <c r="EC14" s="80">
        <f t="shared" si="8"/>
        <v>13.963005397531131</v>
      </c>
      <c r="ED14" s="80">
        <f t="shared" si="8"/>
        <v>14.066331637472858</v>
      </c>
      <c r="EE14" s="80">
        <f t="shared" si="9"/>
        <v>14.180268923736389</v>
      </c>
      <c r="EF14" s="80">
        <f t="shared" si="9"/>
        <v>14.295129102018654</v>
      </c>
      <c r="EG14" s="80">
        <f t="shared" si="10"/>
        <v>14.36803426043895</v>
      </c>
      <c r="EH14" s="80">
        <f t="shared" si="10"/>
        <v>14.44131123516719</v>
      </c>
    </row>
    <row r="15" spans="1:138">
      <c r="A15" s="108"/>
      <c r="B15" s="50" t="s">
        <v>26</v>
      </c>
      <c r="C15" s="19"/>
      <c r="D15" s="19"/>
      <c r="E15" s="19"/>
      <c r="F15" s="19"/>
      <c r="G15" s="19"/>
      <c r="H15" s="19"/>
      <c r="I15" s="19"/>
      <c r="J15" s="19"/>
      <c r="K15" s="20">
        <v>0.57347958354036177</v>
      </c>
      <c r="L15" s="20">
        <v>0.58003363592368007</v>
      </c>
      <c r="M15" s="20">
        <v>0.58658768830699848</v>
      </c>
      <c r="N15" s="20">
        <v>0.59314174069031689</v>
      </c>
      <c r="O15" s="20">
        <v>0.60256515093523189</v>
      </c>
      <c r="P15" s="20">
        <v>0.60915056242086274</v>
      </c>
      <c r="Q15" s="20">
        <v>0.61573597390649371</v>
      </c>
      <c r="R15" s="20">
        <v>0.62232138539212478</v>
      </c>
      <c r="S15" s="20">
        <v>0.63191592030779276</v>
      </c>
      <c r="T15" s="20">
        <v>0.63853284093928808</v>
      </c>
      <c r="U15" s="20">
        <v>0.6451497615707833</v>
      </c>
      <c r="V15" s="20">
        <v>0.65176668220227851</v>
      </c>
      <c r="W15" s="20">
        <v>0.62494757470495987</v>
      </c>
      <c r="X15" s="20">
        <v>0.62619746985436975</v>
      </c>
      <c r="Y15" s="20">
        <v>0.62744986479407849</v>
      </c>
      <c r="Z15" s="20">
        <v>0.62870476452366664</v>
      </c>
      <c r="AA15" s="20">
        <v>0.6040378790256089</v>
      </c>
      <c r="AB15" s="20">
        <v>0.60645403054171132</v>
      </c>
      <c r="AC15" s="20">
        <v>0.60887984666387807</v>
      </c>
      <c r="AD15" s="20">
        <v>0.6113153660505336</v>
      </c>
      <c r="AE15" s="20">
        <v>0.58850072559505939</v>
      </c>
      <c r="AF15" s="20">
        <v>0.59203172994862974</v>
      </c>
      <c r="AG15" s="20">
        <v>0.59558392032832153</v>
      </c>
      <c r="AH15" s="20">
        <v>0.59915742385029147</v>
      </c>
      <c r="AI15" s="20">
        <v>0.57759922371941008</v>
      </c>
      <c r="AJ15" s="20">
        <v>0.58187345797493362</v>
      </c>
      <c r="AK15" s="20">
        <v>0.58617932156394803</v>
      </c>
      <c r="AL15" s="20">
        <v>0.59051704854352127</v>
      </c>
      <c r="AM15" s="20">
        <v>0.56966529821696055</v>
      </c>
      <c r="AN15" s="20">
        <v>0.57427958713251792</v>
      </c>
      <c r="AO15" s="20">
        <v>0.57720841302689385</v>
      </c>
      <c r="AP15" s="20">
        <v>0.58015217593333102</v>
      </c>
      <c r="AQ15" s="20"/>
      <c r="AR15" s="20"/>
      <c r="AS15" s="20"/>
      <c r="AT15" s="20"/>
      <c r="AW15" s="108"/>
      <c r="AX15" s="50" t="s">
        <v>26</v>
      </c>
      <c r="AY15" s="87">
        <f>'Aglis Total Tonnage'!C15</f>
        <v>0</v>
      </c>
      <c r="AZ15" s="87">
        <f>'Aglis Total Tonnage'!D15</f>
        <v>0</v>
      </c>
      <c r="BA15" s="87">
        <f>'Aglis Total Tonnage'!E15</f>
        <v>0</v>
      </c>
      <c r="BB15" s="87">
        <f>'Aglis Total Tonnage'!F15</f>
        <v>0</v>
      </c>
      <c r="BC15" s="87">
        <f>'Aglis Total Tonnage'!G15</f>
        <v>0</v>
      </c>
      <c r="BD15" s="87">
        <f>'Aglis Total Tonnage'!H15</f>
        <v>0</v>
      </c>
      <c r="BE15" s="87">
        <f>'Aglis Total Tonnage'!I15</f>
        <v>0</v>
      </c>
      <c r="BF15" s="87">
        <f>'Aglis Total Tonnage'!J15</f>
        <v>0</v>
      </c>
      <c r="BG15" s="86">
        <f>K15*'Total Tonnage'!K15</f>
        <v>25.004667561337087</v>
      </c>
      <c r="BH15" s="86">
        <f>L15*'Total Tonnage'!L15</f>
        <v>25.290435190609504</v>
      </c>
      <c r="BI15" s="86">
        <f>M15*'Total Tonnage'!M15</f>
        <v>25.576202819881928</v>
      </c>
      <c r="BJ15" s="86">
        <f>N15*'Total Tonnage'!N15</f>
        <v>25.861970449154349</v>
      </c>
      <c r="BK15" s="86">
        <f>O15*'Total Tonnage'!O15</f>
        <v>26.976663095198436</v>
      </c>
      <c r="BL15" s="86">
        <f>P15*'Total Tonnage'!P15</f>
        <v>27.271490014271645</v>
      </c>
      <c r="BM15" s="86">
        <f>Q15*'Total Tonnage'!Q15</f>
        <v>27.566316933344858</v>
      </c>
      <c r="BN15" s="86">
        <f>R15*'Total Tonnage'!R15</f>
        <v>27.861143852418063</v>
      </c>
      <c r="BO15" s="86">
        <f>S15*'Total Tonnage'!S15</f>
        <v>29.043549214102157</v>
      </c>
      <c r="BP15" s="86">
        <f>T15*'Total Tonnage'!T15</f>
        <v>29.347670148281242</v>
      </c>
      <c r="BQ15" s="86">
        <f>U15*'Total Tonnage'!U15</f>
        <v>29.651791082460317</v>
      </c>
      <c r="BR15" s="86">
        <f>V15*'Total Tonnage'!V15</f>
        <v>29.955912016639402</v>
      </c>
      <c r="BS15" s="86">
        <f>W15*'Total Tonnage'!W15</f>
        <v>28.850195397557609</v>
      </c>
      <c r="BT15" s="86">
        <f>X15*'Total Tonnage'!X15</f>
        <v>28.984247025037114</v>
      </c>
      <c r="BU15" s="86">
        <f>Y15*'Total Tonnage'!Y15</f>
        <v>29.118872466123268</v>
      </c>
      <c r="BV15" s="86">
        <f>Z15*'Total Tonnage'!Z15</f>
        <v>29.254074092507523</v>
      </c>
      <c r="BW15" s="86">
        <f>AA15*'Total Tonnage'!AA15</f>
        <v>28.30432048022961</v>
      </c>
      <c r="BX15" s="86">
        <f>AB15*'Total Tonnage'!AB15</f>
        <v>28.567109991807207</v>
      </c>
      <c r="BY15" s="86">
        <f>AC15*'Total Tonnage'!AC15</f>
        <v>28.832149632424024</v>
      </c>
      <c r="BZ15" s="86">
        <f>AD15*'Total Tonnage'!AD15</f>
        <v>29.099458013547729</v>
      </c>
      <c r="CA15" s="86">
        <f>AE15*'Total Tonnage'!AE15</f>
        <v>28.283282912246396</v>
      </c>
      <c r="CB15" s="86">
        <f>AF15*'Total Tonnage'!AF15</f>
        <v>28.676272922997626</v>
      </c>
      <c r="CC15" s="86">
        <f>AG15*'Total Tonnage'!AG15</f>
        <v>29.074308396023984</v>
      </c>
      <c r="CD15" s="86">
        <f>AH15*'Total Tonnage'!AH15</f>
        <v>29.477451951116439</v>
      </c>
      <c r="CE15" s="86">
        <f>AI15*'Total Tonnage'!AI15</f>
        <v>28.740260390069967</v>
      </c>
      <c r="CF15" s="86">
        <f>AJ15*'Total Tonnage'!AJ15</f>
        <v>29.230916841619369</v>
      </c>
      <c r="CG15" s="86">
        <f>AK15*'Total Tonnage'!AK15</f>
        <v>29.729333455179258</v>
      </c>
      <c r="CH15" s="86">
        <f>AL15*'Total Tonnage'!AL15</f>
        <v>30.098515778615102</v>
      </c>
      <c r="CI15" s="86">
        <f>AM15*'Total Tonnage'!AM15</f>
        <v>29.389788916651259</v>
      </c>
      <c r="CJ15" s="86">
        <f>AN15*'Total Tonnage'!AN15</f>
        <v>29.627846206876132</v>
      </c>
      <c r="CK15" s="86">
        <f>AO15*'Total Tonnage'!AO15</f>
        <v>29.778948222531206</v>
      </c>
      <c r="CL15" s="86">
        <f>AP15*'Total Tonnage'!AP15</f>
        <v>29.930820858466113</v>
      </c>
      <c r="CM15" s="86"/>
      <c r="CN15" s="86"/>
      <c r="CO15" s="86"/>
      <c r="CP15" s="86"/>
      <c r="CU15" s="81">
        <v>0</v>
      </c>
      <c r="CV15" s="81">
        <v>0</v>
      </c>
      <c r="CW15" s="81">
        <v>0</v>
      </c>
      <c r="CX15" s="81">
        <v>0</v>
      </c>
      <c r="CY15" s="81">
        <v>0</v>
      </c>
      <c r="CZ15" s="81">
        <v>0</v>
      </c>
      <c r="DA15" s="81">
        <v>0</v>
      </c>
      <c r="DB15" s="81">
        <v>0</v>
      </c>
      <c r="DC15" s="79">
        <v>10.708944121887845</v>
      </c>
      <c r="DD15" s="79">
        <v>10.831332054709421</v>
      </c>
      <c r="DE15" s="79">
        <v>10.953719987530995</v>
      </c>
      <c r="DF15" s="79">
        <v>11.07610792035257</v>
      </c>
      <c r="DG15" s="79">
        <v>11.758420645832855</v>
      </c>
      <c r="DH15" s="79">
        <v>11.886927975295508</v>
      </c>
      <c r="DI15" s="79">
        <v>12.015435304758162</v>
      </c>
      <c r="DJ15" s="79">
        <v>12.143942634220819</v>
      </c>
      <c r="DK15" s="79">
        <v>12.886072461867645</v>
      </c>
      <c r="DL15" s="79">
        <v>13.021005157803435</v>
      </c>
      <c r="DM15" s="79">
        <v>13.155937853739221</v>
      </c>
      <c r="DN15" s="79">
        <v>13.290870549675008</v>
      </c>
      <c r="DO15" s="80">
        <f t="shared" si="5"/>
        <v>13.317452290774357</v>
      </c>
      <c r="DP15" s="80">
        <f t="shared" si="5"/>
        <v>13.344087195355906</v>
      </c>
      <c r="DQ15" s="80">
        <f t="shared" si="5"/>
        <v>13.370775369746617</v>
      </c>
      <c r="DR15" s="80">
        <f t="shared" si="5"/>
        <v>13.39751692048611</v>
      </c>
      <c r="DS15" s="80">
        <f t="shared" si="6"/>
        <v>13.451106988168055</v>
      </c>
      <c r="DT15" s="80">
        <f t="shared" si="6"/>
        <v>13.504911416120727</v>
      </c>
      <c r="DU15" s="80">
        <f t="shared" si="6"/>
        <v>13.558931061785209</v>
      </c>
      <c r="DV15" s="80">
        <f t="shared" si="6"/>
        <v>13.61316678603235</v>
      </c>
      <c r="DW15" s="80">
        <f t="shared" si="7"/>
        <v>13.694845786748544</v>
      </c>
      <c r="DX15" s="80">
        <f t="shared" si="7"/>
        <v>13.777014861469036</v>
      </c>
      <c r="DY15" s="80">
        <f t="shared" si="7"/>
        <v>13.85967695063785</v>
      </c>
      <c r="DZ15" s="80">
        <f t="shared" si="7"/>
        <v>13.942835012341677</v>
      </c>
      <c r="EA15" s="80">
        <f t="shared" si="8"/>
        <v>14.046011991433003</v>
      </c>
      <c r="EB15" s="80">
        <f t="shared" si="8"/>
        <v>14.149952480169606</v>
      </c>
      <c r="EC15" s="80">
        <f t="shared" si="8"/>
        <v>14.25466212852286</v>
      </c>
      <c r="ED15" s="80">
        <f t="shared" si="8"/>
        <v>14.360146628273927</v>
      </c>
      <c r="EE15" s="80">
        <f t="shared" si="9"/>
        <v>14.476463815962946</v>
      </c>
      <c r="EF15" s="80">
        <f t="shared" si="9"/>
        <v>14.593723172872245</v>
      </c>
      <c r="EG15" s="80">
        <f t="shared" si="10"/>
        <v>14.668151161053895</v>
      </c>
      <c r="EH15" s="80">
        <f t="shared" si="10"/>
        <v>14.742958731975271</v>
      </c>
    </row>
    <row r="16" spans="1:138">
      <c r="A16" s="109"/>
      <c r="B16" s="50" t="s">
        <v>28</v>
      </c>
      <c r="C16" s="19"/>
      <c r="D16" s="19"/>
      <c r="E16" s="19"/>
      <c r="F16" s="19"/>
      <c r="G16" s="19"/>
      <c r="H16" s="19"/>
      <c r="I16" s="19"/>
      <c r="J16" s="19"/>
      <c r="K16" s="20">
        <v>0.42009891600467048</v>
      </c>
      <c r="L16" s="20">
        <v>0.42756734117808659</v>
      </c>
      <c r="M16" s="20">
        <v>0.43503576635150293</v>
      </c>
      <c r="N16" s="20">
        <v>0.44250419152491927</v>
      </c>
      <c r="O16" s="20">
        <v>0.45212559572560057</v>
      </c>
      <c r="P16" s="20">
        <v>0.45962975499075581</v>
      </c>
      <c r="Q16" s="20">
        <v>0.46713391425591094</v>
      </c>
      <c r="R16" s="20">
        <v>0.47463807352106613</v>
      </c>
      <c r="S16" s="20">
        <v>0.48444913342156209</v>
      </c>
      <c r="T16" s="20">
        <v>0.49198919775497157</v>
      </c>
      <c r="U16" s="20">
        <v>0.49952926208838117</v>
      </c>
      <c r="V16" s="20">
        <v>0.5070693264217907</v>
      </c>
      <c r="W16" s="20">
        <v>0.4862042727986931</v>
      </c>
      <c r="X16" s="20">
        <v>0.48717668134429049</v>
      </c>
      <c r="Y16" s="20">
        <v>0.48815103470697907</v>
      </c>
      <c r="Z16" s="20">
        <v>0.48912733677639303</v>
      </c>
      <c r="AA16" s="20">
        <v>0.46993669485502243</v>
      </c>
      <c r="AB16" s="20">
        <v>0.47181644163444253</v>
      </c>
      <c r="AC16" s="20">
        <v>0.47370370740098033</v>
      </c>
      <c r="AD16" s="20">
        <v>0.47559852223058424</v>
      </c>
      <c r="AE16" s="20">
        <v>0.45784891231001718</v>
      </c>
      <c r="AF16" s="20">
        <v>0.46059600578387722</v>
      </c>
      <c r="AG16" s="20">
        <v>0.4633595818185805</v>
      </c>
      <c r="AH16" s="20">
        <v>0.46613973930949198</v>
      </c>
      <c r="AI16" s="20">
        <v>0.44936763002907387</v>
      </c>
      <c r="AJ16" s="20">
        <v>0.45269295049128894</v>
      </c>
      <c r="AK16" s="20">
        <v>0.45604287832492446</v>
      </c>
      <c r="AL16" s="20">
        <v>0.45941759562452877</v>
      </c>
      <c r="AM16" s="20">
        <v>0.44319509870726076</v>
      </c>
      <c r="AN16" s="20">
        <v>0.44678497900678976</v>
      </c>
      <c r="AO16" s="20">
        <v>0.44906358239972444</v>
      </c>
      <c r="AP16" s="20">
        <v>0.45135380666996305</v>
      </c>
      <c r="AQ16" s="20"/>
      <c r="AR16" s="20"/>
      <c r="AS16" s="20"/>
      <c r="AT16" s="20"/>
      <c r="AW16" s="109"/>
      <c r="AX16" s="50" t="s">
        <v>28</v>
      </c>
      <c r="AY16" s="87">
        <f>'Aglis Total Tonnage'!C16</f>
        <v>0</v>
      </c>
      <c r="AZ16" s="87">
        <f>'Aglis Total Tonnage'!D16</f>
        <v>0</v>
      </c>
      <c r="BA16" s="87">
        <f>'Aglis Total Tonnage'!E16</f>
        <v>0</v>
      </c>
      <c r="BB16" s="87">
        <f>'Aglis Total Tonnage'!F16</f>
        <v>0</v>
      </c>
      <c r="BC16" s="87">
        <f>'Aglis Total Tonnage'!G16</f>
        <v>0</v>
      </c>
      <c r="BD16" s="87">
        <f>'Aglis Total Tonnage'!H16</f>
        <v>0</v>
      </c>
      <c r="BE16" s="87">
        <f>'Aglis Total Tonnage'!I16</f>
        <v>0</v>
      </c>
      <c r="BF16" s="87">
        <f>'Aglis Total Tonnage'!J16</f>
        <v>0</v>
      </c>
      <c r="BG16" s="86">
        <f>K16*'Total Tonnage'!K16</f>
        <v>12.205014209265874</v>
      </c>
      <c r="BH16" s="86">
        <f>L16*'Total Tonnage'!L16</f>
        <v>12.421992239652816</v>
      </c>
      <c r="BI16" s="86">
        <f>M16*'Total Tonnage'!M16</f>
        <v>12.638970270039763</v>
      </c>
      <c r="BJ16" s="86">
        <f>N16*'Total Tonnage'!N16</f>
        <v>12.855948300426713</v>
      </c>
      <c r="BK16" s="86">
        <f>O16*'Total Tonnage'!O16</f>
        <v>13.441589799104909</v>
      </c>
      <c r="BL16" s="86">
        <f>P16*'Total Tonnage'!P16</f>
        <v>13.664686725231133</v>
      </c>
      <c r="BM16" s="86">
        <f>Q16*'Total Tonnage'!Q16</f>
        <v>13.88778365135736</v>
      </c>
      <c r="BN16" s="86">
        <f>R16*'Total Tonnage'!R16</f>
        <v>14.110880577483575</v>
      </c>
      <c r="BO16" s="86">
        <f>S16*'Total Tonnage'!S16</f>
        <v>14.737119467398033</v>
      </c>
      <c r="BP16" s="86">
        <f>T16*'Total Tonnage'!T16</f>
        <v>14.966490976618234</v>
      </c>
      <c r="BQ16" s="86">
        <f>U16*'Total Tonnage'!U16</f>
        <v>15.19586248583844</v>
      </c>
      <c r="BR16" s="86">
        <f>V16*'Total Tonnage'!V16</f>
        <v>15.425233995058642</v>
      </c>
      <c r="BS16" s="86">
        <f>W16*'Total Tonnage'!W16</f>
        <v>14.847747550236667</v>
      </c>
      <c r="BT16" s="86">
        <f>X16*'Total Tonnage'!X16</f>
        <v>14.91187482756872</v>
      </c>
      <c r="BU16" s="86">
        <f>Y16*'Total Tonnage'!Y16</f>
        <v>14.976268224311491</v>
      </c>
      <c r="BV16" s="86">
        <f>Z16*'Total Tonnage'!Z16</f>
        <v>15.040928824714687</v>
      </c>
      <c r="BW16" s="86">
        <f>AA16*'Total Tonnage'!AA16</f>
        <v>14.540103712711707</v>
      </c>
      <c r="BX16" s="86">
        <f>AB16*'Total Tonnage'!AB16</f>
        <v>14.665716059752189</v>
      </c>
      <c r="BY16" s="86">
        <f>AC16*'Total Tonnage'!AC16</f>
        <v>14.792371550869262</v>
      </c>
      <c r="BZ16" s="86">
        <f>AD16*'Total Tonnage'!AD16</f>
        <v>14.920078692847856</v>
      </c>
      <c r="CA16" s="86">
        <f>AE16*'Total Tonnage'!AE16</f>
        <v>14.48493836483008</v>
      </c>
      <c r="CB16" s="86">
        <f>AF16*'Total Tonnage'!AF16</f>
        <v>14.672544247955745</v>
      </c>
      <c r="CC16" s="86">
        <f>AG16*'Total Tonnage'!AG16</f>
        <v>14.862487746480525</v>
      </c>
      <c r="CD16" s="86">
        <f>AH16*'Total Tonnage'!AH16</f>
        <v>15.054797473489277</v>
      </c>
      <c r="CE16" s="86">
        <f>AI16*'Total Tonnage'!AI16</f>
        <v>14.65896985145864</v>
      </c>
      <c r="CF16" s="86">
        <f>AJ16*'Total Tonnage'!AJ16</f>
        <v>14.892804984050736</v>
      </c>
      <c r="CG16" s="86">
        <f>AK16*'Total Tonnage'!AK16</f>
        <v>15.130232670853712</v>
      </c>
      <c r="CH16" s="86">
        <f>AL16*'Total Tonnage'!AL16</f>
        <v>15.309473812935742</v>
      </c>
      <c r="CI16" s="86">
        <f>AM16*'Total Tonnage'!AM16</f>
        <v>14.92855970364295</v>
      </c>
      <c r="CJ16" s="86">
        <f>AN16*'Total Tonnage'!AN16</f>
        <v>15.049481037242465</v>
      </c>
      <c r="CK16" s="86">
        <f>AO16*'Total Tonnage'!AO16</f>
        <v>15.126233390532404</v>
      </c>
      <c r="CL16" s="86">
        <f>AP16*'Total Tonnage'!AP16</f>
        <v>15.20337718082412</v>
      </c>
      <c r="CM16" s="86"/>
      <c r="CN16" s="86"/>
      <c r="CO16" s="86"/>
      <c r="CP16" s="86"/>
      <c r="CU16" s="81">
        <v>0</v>
      </c>
      <c r="CV16" s="81">
        <v>0</v>
      </c>
      <c r="CW16" s="81">
        <v>0</v>
      </c>
      <c r="CX16" s="81">
        <v>0</v>
      </c>
      <c r="CY16" s="81">
        <v>0</v>
      </c>
      <c r="CZ16" s="81">
        <v>0</v>
      </c>
      <c r="DA16" s="81">
        <v>0</v>
      </c>
      <c r="DB16" s="81">
        <v>0</v>
      </c>
      <c r="DC16" s="79">
        <v>4.7710885949999993</v>
      </c>
      <c r="DD16" s="79">
        <v>4.8559079477999996</v>
      </c>
      <c r="DE16" s="79">
        <v>4.940727300599999</v>
      </c>
      <c r="DF16" s="79">
        <v>5.0255466533999993</v>
      </c>
      <c r="DG16" s="79">
        <v>5.3658843065099999</v>
      </c>
      <c r="DH16" s="79">
        <v>5.4549446269500006</v>
      </c>
      <c r="DI16" s="79">
        <v>5.5440049473900004</v>
      </c>
      <c r="DJ16" s="79">
        <v>5.6330652678300002</v>
      </c>
      <c r="DK16" s="79">
        <v>6.0082318676835005</v>
      </c>
      <c r="DL16" s="79">
        <v>6.1017452041454998</v>
      </c>
      <c r="DM16" s="79">
        <v>6.1952585406075009</v>
      </c>
      <c r="DN16" s="79">
        <v>6.2887718770695011</v>
      </c>
      <c r="DO16" s="80">
        <f t="shared" si="5"/>
        <v>6.30134942082364</v>
      </c>
      <c r="DP16" s="80">
        <f t="shared" si="5"/>
        <v>6.313952119665287</v>
      </c>
      <c r="DQ16" s="80">
        <f t="shared" si="5"/>
        <v>6.3265800239046177</v>
      </c>
      <c r="DR16" s="80">
        <f t="shared" si="5"/>
        <v>6.3392331839524267</v>
      </c>
      <c r="DS16" s="80">
        <f t="shared" si="6"/>
        <v>6.3645901166882366</v>
      </c>
      <c r="DT16" s="80">
        <f t="shared" si="6"/>
        <v>6.3900484771549895</v>
      </c>
      <c r="DU16" s="80">
        <f t="shared" si="6"/>
        <v>6.4156086710636098</v>
      </c>
      <c r="DV16" s="80">
        <f t="shared" si="6"/>
        <v>6.4412711057478642</v>
      </c>
      <c r="DW16" s="80">
        <f t="shared" si="7"/>
        <v>6.4799187323823517</v>
      </c>
      <c r="DX16" s="80">
        <f t="shared" si="7"/>
        <v>6.5187982447766455</v>
      </c>
      <c r="DY16" s="80">
        <f t="shared" si="7"/>
        <v>6.5579110342453051</v>
      </c>
      <c r="DZ16" s="80">
        <f t="shared" si="7"/>
        <v>6.5972585004507769</v>
      </c>
      <c r="EA16" s="80">
        <f t="shared" si="8"/>
        <v>6.6460782133541114</v>
      </c>
      <c r="EB16" s="80">
        <f t="shared" si="8"/>
        <v>6.695259192132931</v>
      </c>
      <c r="EC16" s="80">
        <f t="shared" si="8"/>
        <v>6.744804110154714</v>
      </c>
      <c r="ED16" s="80">
        <f t="shared" si="8"/>
        <v>6.7947156605698575</v>
      </c>
      <c r="EE16" s="80">
        <f t="shared" si="9"/>
        <v>6.8497528574204738</v>
      </c>
      <c r="EF16" s="80">
        <f t="shared" si="9"/>
        <v>6.9052358555655795</v>
      </c>
      <c r="EG16" s="80">
        <f t="shared" si="10"/>
        <v>6.9404525584289649</v>
      </c>
      <c r="EH16" s="80">
        <f t="shared" si="10"/>
        <v>6.9758488664769533</v>
      </c>
    </row>
    <row r="17" spans="1:138">
      <c r="A17" s="107">
        <v>4</v>
      </c>
      <c r="B17" s="51" t="s">
        <v>30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20">
        <v>0.65937485657489192</v>
      </c>
      <c r="P17" s="20">
        <v>0.66749023942504437</v>
      </c>
      <c r="Q17" s="20">
        <v>0.67560562227519683</v>
      </c>
      <c r="R17" s="20">
        <v>0.68372100512534939</v>
      </c>
      <c r="S17" s="20">
        <v>0.69514660992753785</v>
      </c>
      <c r="T17" s="20">
        <v>0.70330082236070546</v>
      </c>
      <c r="U17" s="20">
        <v>0.71145503479387318</v>
      </c>
      <c r="V17" s="20">
        <v>0.71960924722704078</v>
      </c>
      <c r="W17" s="20">
        <v>0.6899985317909042</v>
      </c>
      <c r="X17" s="20">
        <v>0.69137852885448603</v>
      </c>
      <c r="Y17" s="20">
        <v>0.69276128591219499</v>
      </c>
      <c r="Z17" s="20">
        <v>0.69414680848401955</v>
      </c>
      <c r="AA17" s="20">
        <v>0.6669123403999575</v>
      </c>
      <c r="AB17" s="20">
        <v>0.6695799897615573</v>
      </c>
      <c r="AC17" s="20">
        <v>0.67225830972060352</v>
      </c>
      <c r="AD17" s="20">
        <v>0.67494734295948589</v>
      </c>
      <c r="AE17" s="20">
        <v>0.64975792059066284</v>
      </c>
      <c r="AF17" s="20">
        <v>0.65365646811420697</v>
      </c>
      <c r="AG17" s="20">
        <v>0.65757840692289238</v>
      </c>
      <c r="AH17" s="20">
        <v>0.66152387736442941</v>
      </c>
      <c r="AI17" s="20">
        <v>0.63772167852337447</v>
      </c>
      <c r="AJ17" s="20">
        <v>0.64244081894444738</v>
      </c>
      <c r="AK17" s="20">
        <v>0.64719488100463618</v>
      </c>
      <c r="AL17" s="20">
        <v>0.6519841231240705</v>
      </c>
      <c r="AM17" s="20">
        <v>0.62896190863289525</v>
      </c>
      <c r="AN17" s="20">
        <v>0.63405650009282177</v>
      </c>
      <c r="AO17" s="20">
        <v>0.63729018824329509</v>
      </c>
      <c r="AP17" s="20">
        <v>0.64054036820333615</v>
      </c>
      <c r="AQ17" s="20"/>
      <c r="AR17" s="20"/>
      <c r="AS17" s="20"/>
      <c r="AT17" s="20"/>
      <c r="AW17" s="107">
        <v>4</v>
      </c>
      <c r="AX17" s="51" t="s">
        <v>30</v>
      </c>
      <c r="AY17" s="87">
        <f>'Aglis Total Tonnage'!C17</f>
        <v>0</v>
      </c>
      <c r="AZ17" s="87">
        <f>'Aglis Total Tonnage'!D17</f>
        <v>0</v>
      </c>
      <c r="BA17" s="87">
        <f>'Aglis Total Tonnage'!E17</f>
        <v>0</v>
      </c>
      <c r="BB17" s="87">
        <f>'Aglis Total Tonnage'!F17</f>
        <v>0</v>
      </c>
      <c r="BC17" s="87">
        <f>'Aglis Total Tonnage'!G17</f>
        <v>0</v>
      </c>
      <c r="BD17" s="87">
        <f>'Aglis Total Tonnage'!H17</f>
        <v>0</v>
      </c>
      <c r="BE17" s="87">
        <f>'Aglis Total Tonnage'!I17</f>
        <v>0</v>
      </c>
      <c r="BF17" s="87">
        <f>'Aglis Total Tonnage'!J17</f>
        <v>0</v>
      </c>
      <c r="BG17" s="87">
        <f>'Aglis Total Tonnage'!K17</f>
        <v>0</v>
      </c>
      <c r="BH17" s="87">
        <f>'Aglis Total Tonnage'!L17</f>
        <v>0</v>
      </c>
      <c r="BI17" s="87">
        <f>'Aglis Total Tonnage'!M17</f>
        <v>0</v>
      </c>
      <c r="BJ17" s="87">
        <f>'Aglis Total Tonnage'!N17</f>
        <v>0</v>
      </c>
      <c r="BK17" s="86">
        <f>O17*'Total Tonnage'!O17</f>
        <v>32.902805343087103</v>
      </c>
      <c r="BL17" s="86">
        <f>P17*'Total Tonnage'!P17</f>
        <v>33.332908416827351</v>
      </c>
      <c r="BM17" s="86">
        <f>Q17*'Total Tonnage'!Q17</f>
        <v>33.738171741044091</v>
      </c>
      <c r="BN17" s="86">
        <f>R17*'Total Tonnage'!R17</f>
        <v>34.143435065260839</v>
      </c>
      <c r="BO17" s="86">
        <f>S17*'Total Tonnage'!S17</f>
        <v>35.664097182243289</v>
      </c>
      <c r="BP17" s="86">
        <f>T17*'Total Tonnage'!T17</f>
        <v>36.082444363266667</v>
      </c>
      <c r="BQ17" s="86">
        <f>U17*'Total Tonnage'!U17</f>
        <v>36.50079154429006</v>
      </c>
      <c r="BR17" s="86">
        <f>V17*'Total Tonnage'!V17</f>
        <v>36.919138725313438</v>
      </c>
      <c r="BS17" s="86">
        <f>W17*'Total Tonnage'!W17</f>
        <v>35.643791527873589</v>
      </c>
      <c r="BT17" s="86">
        <f>X17*'Total Tonnage'!X17</f>
        <v>35.811951999013047</v>
      </c>
      <c r="BU17" s="86">
        <f>Y17*'Total Tonnage'!Y17</f>
        <v>35.980836670138665</v>
      </c>
      <c r="BV17" s="86">
        <f>Z17*'Total Tonnage'!Z17</f>
        <v>36.150448542718117</v>
      </c>
      <c r="BW17" s="86">
        <f>AA17*'Total Tonnage'!AA17</f>
        <v>35.01043704478505</v>
      </c>
      <c r="BX17" s="86">
        <f>AB17*'Total Tonnage'!AB17</f>
        <v>35.313049111367015</v>
      </c>
      <c r="BY17" s="86">
        <f>AC17*'Total Tonnage'!AC17</f>
        <v>35.645596724639177</v>
      </c>
      <c r="BZ17" s="86">
        <f>AD17*'Total Tonnage'!AD17</f>
        <v>35.981007952425742</v>
      </c>
      <c r="CA17" s="86">
        <f>AE17*'Total Tonnage'!AE17</f>
        <v>35.03437636443487</v>
      </c>
      <c r="CB17" s="86">
        <f>AF17*'Total Tonnage'!AF17</f>
        <v>35.473724547061636</v>
      </c>
      <c r="CC17" s="86">
        <f>AG17*'Total Tonnage'!AG17</f>
        <v>35.973282951834356</v>
      </c>
      <c r="CD17" s="86">
        <f>AH17*'Total Tonnage'!AH17</f>
        <v>36.479289621503654</v>
      </c>
      <c r="CE17" s="86">
        <f>AI17*'Total Tonnage'!AI17</f>
        <v>35.438763512424622</v>
      </c>
      <c r="CF17" s="86">
        <f>AJ17*'Total Tonnage'!AJ17</f>
        <v>35.701010362416561</v>
      </c>
      <c r="CG17" s="86">
        <f>AK17*'Total Tonnage'!AK17</f>
        <v>35.965197839098437</v>
      </c>
      <c r="CH17" s="86">
        <f>AL17*'Total Tonnage'!AL17</f>
        <v>36.231340303107764</v>
      </c>
      <c r="CI17" s="86">
        <f>AM17*'Total Tonnage'!AM17</f>
        <v>34.951975272309035</v>
      </c>
      <c r="CJ17" s="86">
        <f>AN17*'Total Tonnage'!AN17</f>
        <v>35.23508627201474</v>
      </c>
      <c r="CK17" s="86">
        <f>AO17*'Total Tonnage'!AO17</f>
        <v>35.414785212002016</v>
      </c>
      <c r="CL17" s="86">
        <f>AP17*'Total Tonnage'!AP17</f>
        <v>35.595400616583241</v>
      </c>
      <c r="CM17" s="86"/>
      <c r="CN17" s="86"/>
      <c r="CO17" s="86"/>
      <c r="CP17" s="86"/>
      <c r="CU17" s="81">
        <v>0</v>
      </c>
      <c r="CV17" s="81">
        <v>0</v>
      </c>
      <c r="CW17" s="81">
        <v>0</v>
      </c>
      <c r="CX17" s="81">
        <v>0</v>
      </c>
      <c r="CY17" s="81">
        <v>0</v>
      </c>
      <c r="CZ17" s="81">
        <v>0</v>
      </c>
      <c r="DA17" s="81">
        <v>0</v>
      </c>
      <c r="DB17" s="81">
        <v>0</v>
      </c>
      <c r="DC17" s="81">
        <v>0</v>
      </c>
      <c r="DD17" s="81">
        <v>0</v>
      </c>
      <c r="DE17" s="81">
        <v>0</v>
      </c>
      <c r="DF17" s="81">
        <v>0</v>
      </c>
      <c r="DG17" s="79">
        <v>8.0770689153449595</v>
      </c>
      <c r="DH17" s="79">
        <v>8.17647899430305</v>
      </c>
      <c r="DI17" s="79">
        <v>8.2758890732611423</v>
      </c>
      <c r="DJ17" s="79">
        <v>8.3752991522192346</v>
      </c>
      <c r="DK17" s="79">
        <v>8.8984446927361933</v>
      </c>
      <c r="DL17" s="79">
        <v>9.0028252756421896</v>
      </c>
      <c r="DM17" s="79">
        <v>9.1072058585481859</v>
      </c>
      <c r="DN17" s="79">
        <v>9.2115864414541822</v>
      </c>
      <c r="DO17" s="80">
        <f t="shared" si="5"/>
        <v>9.2300096143370904</v>
      </c>
      <c r="DP17" s="80">
        <f t="shared" si="5"/>
        <v>9.2484696335657652</v>
      </c>
      <c r="DQ17" s="80">
        <f t="shared" si="5"/>
        <v>9.2669665728328976</v>
      </c>
      <c r="DR17" s="80">
        <f t="shared" si="5"/>
        <v>9.2855005059785629</v>
      </c>
      <c r="DS17" s="80">
        <f t="shared" si="6"/>
        <v>9.3226425080024775</v>
      </c>
      <c r="DT17" s="80">
        <f t="shared" si="6"/>
        <v>9.3599330780344872</v>
      </c>
      <c r="DU17" s="80">
        <f t="shared" si="6"/>
        <v>9.3973728103466243</v>
      </c>
      <c r="DV17" s="80">
        <f t="shared" si="6"/>
        <v>9.4349623015880102</v>
      </c>
      <c r="DW17" s="80">
        <f t="shared" si="7"/>
        <v>9.4915720753975386</v>
      </c>
      <c r="DX17" s="80">
        <f t="shared" si="7"/>
        <v>9.548521507849923</v>
      </c>
      <c r="DY17" s="80">
        <f t="shared" si="7"/>
        <v>9.6058126368970225</v>
      </c>
      <c r="DZ17" s="80">
        <f t="shared" si="7"/>
        <v>9.6634475127184043</v>
      </c>
      <c r="EA17" s="80">
        <f t="shared" si="8"/>
        <v>9.7349570243125196</v>
      </c>
      <c r="EB17" s="80">
        <f t="shared" si="8"/>
        <v>9.8069957062924313</v>
      </c>
      <c r="EC17" s="80">
        <f t="shared" si="8"/>
        <v>9.8795674745189945</v>
      </c>
      <c r="ED17" s="80">
        <f t="shared" si="8"/>
        <v>9.9526762738304342</v>
      </c>
      <c r="EE17" s="80">
        <f t="shared" si="9"/>
        <v>10.033292951648461</v>
      </c>
      <c r="EF17" s="80">
        <f t="shared" si="9"/>
        <v>10.114562624556813</v>
      </c>
      <c r="EG17" s="80">
        <f t="shared" si="10"/>
        <v>10.166146893942054</v>
      </c>
      <c r="EH17" s="80">
        <f t="shared" si="10"/>
        <v>10.21799424310116</v>
      </c>
    </row>
    <row r="18" spans="1:138">
      <c r="A18" s="108"/>
      <c r="B18" s="52" t="s">
        <v>31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20">
        <v>0.60865371376143873</v>
      </c>
      <c r="P18" s="20">
        <v>0.61676909661159129</v>
      </c>
      <c r="Q18" s="20">
        <v>0.62488447946174375</v>
      </c>
      <c r="R18" s="20">
        <v>0.63299986231189631</v>
      </c>
      <c r="S18" s="20">
        <v>0.6441827822202405</v>
      </c>
      <c r="T18" s="20">
        <v>0.652336994653408</v>
      </c>
      <c r="U18" s="20">
        <v>0.66049120708657572</v>
      </c>
      <c r="V18" s="20">
        <v>0.66864541951974321</v>
      </c>
      <c r="W18" s="20">
        <v>0.64113178024763895</v>
      </c>
      <c r="X18" s="20">
        <v>0.64241404380813416</v>
      </c>
      <c r="Y18" s="20">
        <v>0.6436988718957507</v>
      </c>
      <c r="Z18" s="20">
        <v>0.64498626963954142</v>
      </c>
      <c r="AA18" s="20">
        <v>0.61968058824698602</v>
      </c>
      <c r="AB18" s="20">
        <v>0.62215931059997387</v>
      </c>
      <c r="AC18" s="20">
        <v>0.62464794784237354</v>
      </c>
      <c r="AD18" s="20">
        <v>0.62714653963374323</v>
      </c>
      <c r="AE18" s="20">
        <v>0.60374107069047434</v>
      </c>
      <c r="AF18" s="20">
        <v>0.607363517114617</v>
      </c>
      <c r="AG18" s="20">
        <v>0.61100769821730494</v>
      </c>
      <c r="AH18" s="20">
        <v>0.6146737444066086</v>
      </c>
      <c r="AI18" s="20">
        <v>0.59255725369877221</v>
      </c>
      <c r="AJ18" s="20">
        <v>0.59694217737614375</v>
      </c>
      <c r="AK18" s="20">
        <v>0.60135954948872694</v>
      </c>
      <c r="AL18" s="20">
        <v>0.60580961015494339</v>
      </c>
      <c r="AM18" s="20">
        <v>0.58441786411215157</v>
      </c>
      <c r="AN18" s="20">
        <v>0.58915164881146009</v>
      </c>
      <c r="AO18" s="20">
        <v>0.59215632222039849</v>
      </c>
      <c r="AP18" s="20">
        <v>0.59517631946372263</v>
      </c>
      <c r="AQ18" s="20"/>
      <c r="AR18" s="20"/>
      <c r="AS18" s="20"/>
      <c r="AT18" s="20"/>
      <c r="AW18" s="108"/>
      <c r="AX18" s="52" t="s">
        <v>31</v>
      </c>
      <c r="AY18" s="87">
        <f>'Aglis Total Tonnage'!C18</f>
        <v>0</v>
      </c>
      <c r="AZ18" s="87">
        <f>'Aglis Total Tonnage'!D18</f>
        <v>0</v>
      </c>
      <c r="BA18" s="87">
        <f>'Aglis Total Tonnage'!E18</f>
        <v>0</v>
      </c>
      <c r="BB18" s="87">
        <f>'Aglis Total Tonnage'!F18</f>
        <v>0</v>
      </c>
      <c r="BC18" s="87">
        <f>'Aglis Total Tonnage'!G18</f>
        <v>0</v>
      </c>
      <c r="BD18" s="87">
        <f>'Aglis Total Tonnage'!H18</f>
        <v>0</v>
      </c>
      <c r="BE18" s="87">
        <f>'Aglis Total Tonnage'!I18</f>
        <v>0</v>
      </c>
      <c r="BF18" s="87">
        <f>'Aglis Total Tonnage'!J18</f>
        <v>0</v>
      </c>
      <c r="BG18" s="87">
        <f>'Aglis Total Tonnage'!K18</f>
        <v>0</v>
      </c>
      <c r="BH18" s="87">
        <f>'Aglis Total Tonnage'!L18</f>
        <v>0</v>
      </c>
      <c r="BI18" s="87">
        <f>'Aglis Total Tonnage'!M18</f>
        <v>0</v>
      </c>
      <c r="BJ18" s="87">
        <f>'Aglis Total Tonnage'!N18</f>
        <v>0</v>
      </c>
      <c r="BK18" s="86">
        <f>O18*'Total Tonnage'!O18</f>
        <v>19.717263563293049</v>
      </c>
      <c r="BL18" s="86">
        <f>P18*'Total Tonnage'!P18</f>
        <v>19.980160410803627</v>
      </c>
      <c r="BM18" s="86">
        <f>Q18*'Total Tonnage'!Q18</f>
        <v>20.243057258314199</v>
      </c>
      <c r="BN18" s="86">
        <f>R18*'Total Tonnage'!R18</f>
        <v>20.505954105824774</v>
      </c>
      <c r="BO18" s="86">
        <f>S18*'Total Tonnage'!S18</f>
        <v>21.342275999689122</v>
      </c>
      <c r="BP18" s="86">
        <f>T18*'Total Tonnage'!T18</f>
        <v>21.612431392090244</v>
      </c>
      <c r="BQ18" s="86">
        <f>U18*'Total Tonnage'!U18</f>
        <v>21.882586784491377</v>
      </c>
      <c r="BR18" s="86">
        <f>V18*'Total Tonnage'!V18</f>
        <v>22.152742176892502</v>
      </c>
      <c r="BS18" s="86">
        <f>W18*'Total Tonnage'!W18</f>
        <v>21.363172677153685</v>
      </c>
      <c r="BT18" s="86">
        <f>X18*'Total Tonnage'!X18</f>
        <v>21.454364064138513</v>
      </c>
      <c r="BU18" s="86">
        <f>Y18*'Total Tonnage'!Y18</f>
        <v>21.545931887923992</v>
      </c>
      <c r="BV18" s="86">
        <f>Z18*'Total Tonnage'!Z18</f>
        <v>21.637877678376061</v>
      </c>
      <c r="BW18" s="86">
        <f>AA18*'Total Tonnage'!AA18</f>
        <v>20.928175348789718</v>
      </c>
      <c r="BX18" s="86">
        <f>AB18*'Total Tonnage'!AB18</f>
        <v>21.093221201339357</v>
      </c>
      <c r="BY18" s="86">
        <f>AC18*'Total Tonnage'!AC18</f>
        <v>21.273298266371288</v>
      </c>
      <c r="BZ18" s="86">
        <f>AD18*'Total Tonnage'!AD18</f>
        <v>21.454862804372091</v>
      </c>
      <c r="CA18" s="86">
        <f>AE18*'Total Tonnage'!AE18</f>
        <v>20.852372111041639</v>
      </c>
      <c r="CB18" s="86">
        <f>AF18*'Total Tonnage'!AF18</f>
        <v>21.092124950308474</v>
      </c>
      <c r="CC18" s="86">
        <f>AG18*'Total Tonnage'!AG18</f>
        <v>21.362120369443328</v>
      </c>
      <c r="CD18" s="86">
        <f>AH18*'Total Tonnage'!AH18</f>
        <v>21.635462237062278</v>
      </c>
      <c r="CE18" s="86">
        <f>AI18*'Total Tonnage'!AI18</f>
        <v>20.993095052196356</v>
      </c>
      <c r="CF18" s="86">
        <f>AJ18*'Total Tonnage'!AJ18</f>
        <v>21.148443955582628</v>
      </c>
      <c r="CG18" s="86">
        <f>AK18*'Total Tonnage'!AK18</f>
        <v>21.304942440853932</v>
      </c>
      <c r="CH18" s="86">
        <f>AL18*'Total Tonnage'!AL18</f>
        <v>21.462599014916247</v>
      </c>
      <c r="CI18" s="86">
        <f>AM18*'Total Tonnage'!AM18</f>
        <v>20.704733078408676</v>
      </c>
      <c r="CJ18" s="86">
        <f>AN18*'Total Tonnage'!AN18</f>
        <v>20.87244141634379</v>
      </c>
      <c r="CK18" s="86">
        <f>AO18*'Total Tonnage'!AO18</f>
        <v>20.978890867567141</v>
      </c>
      <c r="CL18" s="86">
        <f>AP18*'Total Tonnage'!AP18</f>
        <v>21.085883210991735</v>
      </c>
      <c r="CM18" s="86"/>
      <c r="CN18" s="86"/>
      <c r="CO18" s="86"/>
      <c r="CP18" s="86"/>
      <c r="CU18" s="81">
        <v>0</v>
      </c>
      <c r="CV18" s="81">
        <v>0</v>
      </c>
      <c r="CW18" s="81">
        <v>0</v>
      </c>
      <c r="CX18" s="81">
        <v>0</v>
      </c>
      <c r="CY18" s="81">
        <v>0</v>
      </c>
      <c r="CZ18" s="81">
        <v>0</v>
      </c>
      <c r="DA18" s="81">
        <v>0</v>
      </c>
      <c r="DB18" s="81">
        <v>0</v>
      </c>
      <c r="DC18" s="81">
        <v>0</v>
      </c>
      <c r="DD18" s="81">
        <v>0</v>
      </c>
      <c r="DE18" s="81">
        <v>0</v>
      </c>
      <c r="DF18" s="81">
        <v>0</v>
      </c>
      <c r="DG18" s="79">
        <v>8.8309191600000148</v>
      </c>
      <c r="DH18" s="79">
        <v>8.9486647488000148</v>
      </c>
      <c r="DI18" s="79">
        <v>9.0664103376000149</v>
      </c>
      <c r="DJ18" s="79">
        <v>9.184155926400015</v>
      </c>
      <c r="DK18" s="79">
        <v>9.7669965909600158</v>
      </c>
      <c r="DL18" s="79">
        <v>9.8906294592000172</v>
      </c>
      <c r="DM18" s="79">
        <v>10.014262327440017</v>
      </c>
      <c r="DN18" s="79">
        <v>10.137895195680017</v>
      </c>
      <c r="DO18" s="80">
        <f t="shared" si="5"/>
        <v>10.158170986071376</v>
      </c>
      <c r="DP18" s="80">
        <f t="shared" si="5"/>
        <v>10.178487328043518</v>
      </c>
      <c r="DQ18" s="80">
        <f t="shared" si="5"/>
        <v>10.198844302699605</v>
      </c>
      <c r="DR18" s="80">
        <f t="shared" si="5"/>
        <v>10.219241991305005</v>
      </c>
      <c r="DS18" s="80">
        <f t="shared" si="6"/>
        <v>10.260118959270224</v>
      </c>
      <c r="DT18" s="80">
        <f t="shared" si="6"/>
        <v>10.301159435107305</v>
      </c>
      <c r="DU18" s="80">
        <f t="shared" si="6"/>
        <v>10.342364072847735</v>
      </c>
      <c r="DV18" s="80">
        <f t="shared" si="6"/>
        <v>10.383733529139127</v>
      </c>
      <c r="DW18" s="80">
        <f t="shared" si="7"/>
        <v>10.446035930313961</v>
      </c>
      <c r="DX18" s="80">
        <f t="shared" si="7"/>
        <v>10.508712145895846</v>
      </c>
      <c r="DY18" s="80">
        <f t="shared" si="7"/>
        <v>10.57176441877122</v>
      </c>
      <c r="DZ18" s="80">
        <f t="shared" si="7"/>
        <v>10.635195005283848</v>
      </c>
      <c r="EA18" s="80">
        <f t="shared" si="8"/>
        <v>10.713895448322946</v>
      </c>
      <c r="EB18" s="80">
        <f t="shared" si="8"/>
        <v>10.793178274640534</v>
      </c>
      <c r="EC18" s="80">
        <f t="shared" si="8"/>
        <v>10.873047793872871</v>
      </c>
      <c r="ED18" s="80">
        <f t="shared" si="8"/>
        <v>10.953508347547528</v>
      </c>
      <c r="EE18" s="80">
        <f t="shared" si="9"/>
        <v>11.042231765162663</v>
      </c>
      <c r="EF18" s="80">
        <f t="shared" si="9"/>
        <v>11.131673842460481</v>
      </c>
      <c r="EG18" s="80">
        <f t="shared" si="10"/>
        <v>11.188445379057031</v>
      </c>
      <c r="EH18" s="80">
        <f t="shared" si="10"/>
        <v>11.245506450490224</v>
      </c>
    </row>
    <row r="19" spans="1:138">
      <c r="A19" s="108"/>
      <c r="B19" s="52" t="s">
        <v>32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20">
        <v>0.1978124569724676</v>
      </c>
      <c r="P19" s="20">
        <v>0.21099995410396544</v>
      </c>
      <c r="Q19" s="20">
        <v>0.22418745123546324</v>
      </c>
      <c r="R19" s="20">
        <v>0.23737494836696116</v>
      </c>
      <c r="S19" s="20">
        <v>0.25176130887404974</v>
      </c>
      <c r="T19" s="20">
        <v>0.26501190407794706</v>
      </c>
      <c r="U19" s="20">
        <v>0.27826249928184443</v>
      </c>
      <c r="V19" s="20">
        <v>0.29151309448574186</v>
      </c>
      <c r="W19" s="20">
        <v>0.27951781882747684</v>
      </c>
      <c r="X19" s="20">
        <v>0.28007685446513181</v>
      </c>
      <c r="Y19" s="20">
        <v>0.28063700817406206</v>
      </c>
      <c r="Z19" s="20">
        <v>0.28119828219041021</v>
      </c>
      <c r="AA19" s="20">
        <v>0.27016562231499702</v>
      </c>
      <c r="AB19" s="20">
        <v>0.27124628480425694</v>
      </c>
      <c r="AC19" s="20">
        <v>0.27233126994347401</v>
      </c>
      <c r="AD19" s="20">
        <v>0.27342059502324811</v>
      </c>
      <c r="AE19" s="20">
        <v>0.26321638142907888</v>
      </c>
      <c r="AF19" s="20">
        <v>0.26479567971765339</v>
      </c>
      <c r="AG19" s="20">
        <v>0.26638445379595926</v>
      </c>
      <c r="AH19" s="20">
        <v>0.26798276051873504</v>
      </c>
      <c r="AI19" s="20">
        <v>0.25834050999672126</v>
      </c>
      <c r="AJ19" s="20">
        <v>0.26025222977069684</v>
      </c>
      <c r="AK19" s="20">
        <v>0.26217809627100008</v>
      </c>
      <c r="AL19" s="20">
        <v>0.26411821418340531</v>
      </c>
      <c r="AM19" s="20">
        <v>0.25479193465865174</v>
      </c>
      <c r="AN19" s="20">
        <v>0.25685574932938676</v>
      </c>
      <c r="AO19" s="20">
        <v>0.25816571365096669</v>
      </c>
      <c r="AP19" s="20">
        <v>0.25948235879058662</v>
      </c>
      <c r="AQ19" s="20"/>
      <c r="AR19" s="20"/>
      <c r="AS19" s="20"/>
      <c r="AT19" s="20"/>
      <c r="AW19" s="108"/>
      <c r="AX19" s="52" t="s">
        <v>32</v>
      </c>
      <c r="AY19" s="87">
        <f>'Aglis Total Tonnage'!C19</f>
        <v>0</v>
      </c>
      <c r="AZ19" s="87">
        <f>'Aglis Total Tonnage'!D19</f>
        <v>0</v>
      </c>
      <c r="BA19" s="87">
        <f>'Aglis Total Tonnage'!E19</f>
        <v>0</v>
      </c>
      <c r="BB19" s="87">
        <f>'Aglis Total Tonnage'!F19</f>
        <v>0</v>
      </c>
      <c r="BC19" s="87">
        <f>'Aglis Total Tonnage'!G19</f>
        <v>0</v>
      </c>
      <c r="BD19" s="87">
        <f>'Aglis Total Tonnage'!H19</f>
        <v>0</v>
      </c>
      <c r="BE19" s="87">
        <f>'Aglis Total Tonnage'!I19</f>
        <v>0</v>
      </c>
      <c r="BF19" s="87">
        <f>'Aglis Total Tonnage'!J19</f>
        <v>0</v>
      </c>
      <c r="BG19" s="87">
        <f>'Aglis Total Tonnage'!K19</f>
        <v>0</v>
      </c>
      <c r="BH19" s="87">
        <f>'Aglis Total Tonnage'!L19</f>
        <v>0</v>
      </c>
      <c r="BI19" s="87">
        <f>'Aglis Total Tonnage'!M19</f>
        <v>0</v>
      </c>
      <c r="BJ19" s="87">
        <f>'Aglis Total Tonnage'!N19</f>
        <v>0</v>
      </c>
      <c r="BK19" s="86">
        <f>O19*'Total Tonnage'!O19</f>
        <v>5.4170869270311801</v>
      </c>
      <c r="BL19" s="86">
        <f>P19*'Total Tonnage'!P19</f>
        <v>5.7782260554999274</v>
      </c>
      <c r="BM19" s="86">
        <f>Q19*'Total Tonnage'!Q19</f>
        <v>6.1393651839686729</v>
      </c>
      <c r="BN19" s="86">
        <f>R19*'Total Tonnage'!R19</f>
        <v>6.5005043124374202</v>
      </c>
      <c r="BO19" s="86">
        <f>S19*'Total Tonnage'!S19</f>
        <v>7.0545187513632177</v>
      </c>
      <c r="BP19" s="86">
        <f>T19*'Total Tonnage'!T19</f>
        <v>7.4258092119612806</v>
      </c>
      <c r="BQ19" s="86">
        <f>U19*'Total Tonnage'!U19</f>
        <v>7.7970996725593453</v>
      </c>
      <c r="BR19" s="86">
        <f>V19*'Total Tonnage'!V19</f>
        <v>8.1683901331574109</v>
      </c>
      <c r="BS19" s="86">
        <f>W19*'Total Tonnage'!W19</f>
        <v>7.8782134679465745</v>
      </c>
      <c r="BT19" s="86">
        <f>X19*'Total Tonnage'!X19</f>
        <v>7.9122225109915263</v>
      </c>
      <c r="BU19" s="86">
        <f>Y19*'Total Tonnage'!Y19</f>
        <v>7.9463726555974672</v>
      </c>
      <c r="BV19" s="86">
        <f>Z19*'Total Tonnage'!Z19</f>
        <v>7.9806644765937573</v>
      </c>
      <c r="BW19" s="86">
        <f>AA19*'Total Tonnage'!AA19</f>
        <v>7.7199902122911626</v>
      </c>
      <c r="BX19" s="86">
        <f>AB19*'Total Tonnage'!AB19</f>
        <v>7.7815013814302061</v>
      </c>
      <c r="BY19" s="86">
        <f>AC19*'Total Tonnage'!AC19</f>
        <v>7.8486709268547568</v>
      </c>
      <c r="BZ19" s="86">
        <f>AD19*'Total Tonnage'!AD19</f>
        <v>7.9163980754768399</v>
      </c>
      <c r="CA19" s="86">
        <f>AE19*'Total Tonnage'!AE19</f>
        <v>7.6956049027679061</v>
      </c>
      <c r="CB19" s="86">
        <f>AF19*'Total Tonnage'!AF19</f>
        <v>7.7849530432787137</v>
      </c>
      <c r="CC19" s="86">
        <f>AG19*'Total Tonnage'!AG19</f>
        <v>7.8856852876878305</v>
      </c>
      <c r="CD19" s="86">
        <f>AH19*'Total Tonnage'!AH19</f>
        <v>7.9876721406881313</v>
      </c>
      <c r="CE19" s="86">
        <f>AI19*'Total Tonnage'!AI19</f>
        <v>7.7515242513137617</v>
      </c>
      <c r="CF19" s="86">
        <f>AJ19*'Total Tonnage'!AJ19</f>
        <v>7.8088855307734786</v>
      </c>
      <c r="CG19" s="86">
        <f>AK19*'Total Tonnage'!AK19</f>
        <v>7.8666712837012049</v>
      </c>
      <c r="CH19" s="86">
        <f>AL19*'Total Tonnage'!AL19</f>
        <v>7.924884651200589</v>
      </c>
      <c r="CI19" s="86">
        <f>AM19*'Total Tonnage'!AM19</f>
        <v>7.645049011363942</v>
      </c>
      <c r="CJ19" s="86">
        <f>AN19*'Total Tonnage'!AN19</f>
        <v>7.6968482842026056</v>
      </c>
      <c r="CK19" s="86">
        <f>AO19*'Total Tonnage'!AO19</f>
        <v>7.7361022104520405</v>
      </c>
      <c r="CL19" s="86">
        <f>AP19*'Total Tonnage'!AP19</f>
        <v>7.7755563317253458</v>
      </c>
      <c r="CM19" s="86"/>
      <c r="CN19" s="86"/>
      <c r="CO19" s="86"/>
      <c r="CP19" s="86"/>
      <c r="CU19" s="81">
        <v>0</v>
      </c>
      <c r="CV19" s="81">
        <v>0</v>
      </c>
      <c r="CW19" s="81">
        <v>0</v>
      </c>
      <c r="CX19" s="81">
        <v>0</v>
      </c>
      <c r="CY19" s="81">
        <v>0</v>
      </c>
      <c r="CZ19" s="81">
        <v>0</v>
      </c>
      <c r="DA19" s="81">
        <v>0</v>
      </c>
      <c r="DB19" s="81">
        <v>0</v>
      </c>
      <c r="DC19" s="81">
        <v>0</v>
      </c>
      <c r="DD19" s="81">
        <v>0</v>
      </c>
      <c r="DE19" s="81">
        <v>0</v>
      </c>
      <c r="DF19" s="81">
        <v>0</v>
      </c>
      <c r="DG19" s="79">
        <v>4.6227740475825305</v>
      </c>
      <c r="DH19" s="79">
        <v>4.9309589840880328</v>
      </c>
      <c r="DI19" s="79">
        <v>5.2391439205935342</v>
      </c>
      <c r="DJ19" s="79">
        <v>5.5473288570990373</v>
      </c>
      <c r="DK19" s="79">
        <v>6.148289483284767</v>
      </c>
      <c r="DL19" s="79">
        <v>6.4718836666155442</v>
      </c>
      <c r="DM19" s="79">
        <v>6.7954778499463213</v>
      </c>
      <c r="DN19" s="79">
        <v>7.1190720332770994</v>
      </c>
      <c r="DO19" s="80">
        <f t="shared" si="5"/>
        <v>7.1333101773436534</v>
      </c>
      <c r="DP19" s="80">
        <f t="shared" si="5"/>
        <v>7.1475767976983411</v>
      </c>
      <c r="DQ19" s="80">
        <f t="shared" si="5"/>
        <v>7.1618719512937377</v>
      </c>
      <c r="DR19" s="80">
        <f t="shared" si="5"/>
        <v>7.1761956951963253</v>
      </c>
      <c r="DS19" s="80">
        <f t="shared" si="6"/>
        <v>7.2049004779771106</v>
      </c>
      <c r="DT19" s="80">
        <f t="shared" si="6"/>
        <v>7.2337200798890189</v>
      </c>
      <c r="DU19" s="80">
        <f t="shared" si="6"/>
        <v>7.2626549602085753</v>
      </c>
      <c r="DV19" s="80">
        <f t="shared" si="6"/>
        <v>7.2917055800494097</v>
      </c>
      <c r="DW19" s="80">
        <f t="shared" si="7"/>
        <v>7.3354558135297063</v>
      </c>
      <c r="DX19" s="80">
        <f t="shared" si="7"/>
        <v>7.3794685484108848</v>
      </c>
      <c r="DY19" s="80">
        <f t="shared" si="7"/>
        <v>7.4237453597013499</v>
      </c>
      <c r="DZ19" s="80">
        <f t="shared" si="7"/>
        <v>7.4682878318595582</v>
      </c>
      <c r="EA19" s="80">
        <f t="shared" si="8"/>
        <v>7.5235531618153182</v>
      </c>
      <c r="EB19" s="80">
        <f t="shared" si="8"/>
        <v>7.5792274552127505</v>
      </c>
      <c r="EC19" s="80">
        <f t="shared" si="8"/>
        <v>7.6353137383813241</v>
      </c>
      <c r="ED19" s="80">
        <f t="shared" si="8"/>
        <v>7.6918150600453448</v>
      </c>
      <c r="EE19" s="80">
        <f t="shared" si="9"/>
        <v>7.7541187620317125</v>
      </c>
      <c r="EF19" s="80">
        <f t="shared" si="9"/>
        <v>7.8169271240041693</v>
      </c>
      <c r="EG19" s="80">
        <f t="shared" si="10"/>
        <v>7.856793452336591</v>
      </c>
      <c r="EH19" s="80">
        <f t="shared" si="10"/>
        <v>7.8968630989435082</v>
      </c>
    </row>
    <row r="20" spans="1:138" ht="15" thickBot="1">
      <c r="A20" s="109"/>
      <c r="B20" s="53" t="s">
        <v>29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20">
        <v>0.17143746270947194</v>
      </c>
      <c r="P20" s="20">
        <v>0.18462495984096977</v>
      </c>
      <c r="Q20" s="20">
        <v>0.1978124569724676</v>
      </c>
      <c r="R20" s="20">
        <v>0.21099995410396549</v>
      </c>
      <c r="S20" s="20">
        <v>0.22526011846625504</v>
      </c>
      <c r="T20" s="20">
        <v>0.23851071367015239</v>
      </c>
      <c r="U20" s="20">
        <v>0.25176130887404985</v>
      </c>
      <c r="V20" s="20">
        <v>0.26501190407794717</v>
      </c>
      <c r="W20" s="20">
        <v>0.25410710802497899</v>
      </c>
      <c r="X20" s="20">
        <v>0.25461532224102895</v>
      </c>
      <c r="Y20" s="20">
        <v>0.25512455288551072</v>
      </c>
      <c r="Z20" s="20">
        <v>0.25563480199128197</v>
      </c>
      <c r="AA20" s="20">
        <v>0.24560511119545186</v>
      </c>
      <c r="AB20" s="20">
        <v>0.24658753164023378</v>
      </c>
      <c r="AC20" s="20">
        <v>0.24757388176679451</v>
      </c>
      <c r="AD20" s="20">
        <v>0.24856417729386179</v>
      </c>
      <c r="AE20" s="20">
        <v>0.23928761948098085</v>
      </c>
      <c r="AF20" s="20">
        <v>0.24072334519786673</v>
      </c>
      <c r="AG20" s="20">
        <v>0.24216768526905391</v>
      </c>
      <c r="AH20" s="20">
        <v>0.24362069138066822</v>
      </c>
      <c r="AI20" s="20">
        <v>0.23485500908792831</v>
      </c>
      <c r="AJ20" s="20">
        <v>0.23659293615517898</v>
      </c>
      <c r="AK20" s="20">
        <v>0.23834372388272732</v>
      </c>
      <c r="AL20" s="20">
        <v>0.24010746743945949</v>
      </c>
      <c r="AM20" s="20">
        <v>0.23162903150786521</v>
      </c>
      <c r="AN20" s="20">
        <v>0.23350522666307891</v>
      </c>
      <c r="AO20" s="20">
        <v>0.2346961033190606</v>
      </c>
      <c r="AP20" s="20">
        <v>0.23589305344598788</v>
      </c>
      <c r="AQ20" s="20"/>
      <c r="AR20" s="20"/>
      <c r="AS20" s="20"/>
      <c r="AT20" s="20"/>
      <c r="AW20" s="109"/>
      <c r="AX20" s="53" t="s">
        <v>29</v>
      </c>
      <c r="AY20" s="87">
        <f>'Aglis Total Tonnage'!C20</f>
        <v>0</v>
      </c>
      <c r="AZ20" s="87">
        <f>'Aglis Total Tonnage'!D20</f>
        <v>0</v>
      </c>
      <c r="BA20" s="87">
        <f>'Aglis Total Tonnage'!E20</f>
        <v>0</v>
      </c>
      <c r="BB20" s="87">
        <f>'Aglis Total Tonnage'!F20</f>
        <v>0</v>
      </c>
      <c r="BC20" s="87">
        <f>'Aglis Total Tonnage'!G20</f>
        <v>0</v>
      </c>
      <c r="BD20" s="87">
        <f>'Aglis Total Tonnage'!H20</f>
        <v>0</v>
      </c>
      <c r="BE20" s="87">
        <f>'Aglis Total Tonnage'!I20</f>
        <v>0</v>
      </c>
      <c r="BF20" s="87">
        <f>'Aglis Total Tonnage'!J20</f>
        <v>0</v>
      </c>
      <c r="BG20" s="87">
        <f>'Aglis Total Tonnage'!K20</f>
        <v>0</v>
      </c>
      <c r="BH20" s="87">
        <f>'Aglis Total Tonnage'!L20</f>
        <v>0</v>
      </c>
      <c r="BI20" s="87">
        <f>'Aglis Total Tonnage'!M20</f>
        <v>0</v>
      </c>
      <c r="BJ20" s="87">
        <f>'Aglis Total Tonnage'!N20</f>
        <v>0</v>
      </c>
      <c r="BK20" s="86">
        <f>O20*'Total Tonnage'!O20</f>
        <v>6.7906292493303706</v>
      </c>
      <c r="BL20" s="86">
        <f>P20*'Total Tonnage'!P20</f>
        <v>7.3129853454327058</v>
      </c>
      <c r="BM20" s="86">
        <f>Q20*'Total Tonnage'!Q20</f>
        <v>7.835341441535042</v>
      </c>
      <c r="BN20" s="86">
        <f>R20*'Total Tonnage'!R20</f>
        <v>8.3576975376373799</v>
      </c>
      <c r="BO20" s="86">
        <f>S20*'Total Tonnage'!S20</f>
        <v>9.1208156576357826</v>
      </c>
      <c r="BP20" s="86">
        <f>T20*'Total Tonnage'!T20</f>
        <v>9.6573342257320061</v>
      </c>
      <c r="BQ20" s="86">
        <f>U20*'Total Tonnage'!U20</f>
        <v>10.193852793828231</v>
      </c>
      <c r="BR20" s="86">
        <f>V20*'Total Tonnage'!V20</f>
        <v>10.730371361924453</v>
      </c>
      <c r="BS20" s="86">
        <f>W20*'Total Tonnage'!W20</f>
        <v>10.346659750856139</v>
      </c>
      <c r="BT20" s="86">
        <f>X20*'Total Tonnage'!X20</f>
        <v>10.390328391334288</v>
      </c>
      <c r="BU20" s="86">
        <f>Y20*'Total Tonnage'!Y20</f>
        <v>10.434176362278578</v>
      </c>
      <c r="BV20" s="86">
        <f>Z20*'Total Tonnage'!Z20</f>
        <v>10.478204390690658</v>
      </c>
      <c r="BW20" s="86">
        <f>AA20*'Total Tonnage'!AA20</f>
        <v>10.133109616235723</v>
      </c>
      <c r="BX20" s="86">
        <f>AB20*'Total Tonnage'!AB20</f>
        <v>10.212198820380243</v>
      </c>
      <c r="BY20" s="86">
        <f>AC20*'Total Tonnage'!AC20</f>
        <v>10.298417106443493</v>
      </c>
      <c r="BZ20" s="86">
        <f>AD20*'Total Tonnage'!AD20</f>
        <v>10.385343947489122</v>
      </c>
      <c r="CA20" s="86">
        <f>AE20*'Total Tonnage'!AE20</f>
        <v>10.091723681207139</v>
      </c>
      <c r="CB20" s="86">
        <f>AF20*'Total Tonnage'!AF20</f>
        <v>10.206619561734625</v>
      </c>
      <c r="CC20" s="86">
        <f>AG20*'Total Tonnage'!AG20</f>
        <v>10.335859661670769</v>
      </c>
      <c r="CD20" s="86">
        <f>AH20*'Total Tonnage'!AH20</f>
        <v>10.466693654811086</v>
      </c>
      <c r="CE20" s="86">
        <f>AI20*'Total Tonnage'!AI20</f>
        <v>10.15461033171856</v>
      </c>
      <c r="CF20" s="86">
        <f>AJ20*'Total Tonnage'!AJ20</f>
        <v>10.229754448173278</v>
      </c>
      <c r="CG20" s="86">
        <f>AK20*'Total Tonnage'!AK20</f>
        <v>10.305454631089761</v>
      </c>
      <c r="CH20" s="86">
        <f>AL20*'Total Tonnage'!AL20</f>
        <v>10.381714995359825</v>
      </c>
      <c r="CI20" s="86">
        <f>AM20*'Total Tonnage'!AM20</f>
        <v>10.015126207485398</v>
      </c>
      <c r="CJ20" s="86">
        <f>AN20*'Total Tonnage'!AN20</f>
        <v>10.096248729766028</v>
      </c>
      <c r="CK20" s="86">
        <f>AO20*'Total Tonnage'!AO20</f>
        <v>10.147739598287835</v>
      </c>
      <c r="CL20" s="86">
        <f>AP20*'Total Tonnage'!AP20</f>
        <v>10.199493070239106</v>
      </c>
      <c r="CM20" s="86"/>
      <c r="CN20" s="86"/>
      <c r="CO20" s="86"/>
      <c r="CP20" s="86"/>
      <c r="CU20" s="81">
        <v>0</v>
      </c>
      <c r="CV20" s="81">
        <v>0</v>
      </c>
      <c r="CW20" s="81">
        <v>0</v>
      </c>
      <c r="CX20" s="81">
        <v>0</v>
      </c>
      <c r="CY20" s="81">
        <v>0</v>
      </c>
      <c r="CZ20" s="81">
        <v>0</v>
      </c>
      <c r="DA20" s="81">
        <v>0</v>
      </c>
      <c r="DB20" s="81">
        <v>0</v>
      </c>
      <c r="DC20" s="81">
        <v>0</v>
      </c>
      <c r="DD20" s="81">
        <v>0</v>
      </c>
      <c r="DE20" s="81">
        <v>0</v>
      </c>
      <c r="DF20" s="81">
        <v>0</v>
      </c>
      <c r="DG20" s="79">
        <v>3.4258102074997856</v>
      </c>
      <c r="DH20" s="79">
        <v>3.6893340696151538</v>
      </c>
      <c r="DI20" s="79">
        <v>3.9528579317305219</v>
      </c>
      <c r="DJ20" s="79">
        <v>4.2163817938458905</v>
      </c>
      <c r="DK20" s="79">
        <v>4.7039009387593218</v>
      </c>
      <c r="DL20" s="79">
        <v>4.9806009939804587</v>
      </c>
      <c r="DM20" s="79">
        <v>5.2573010492015966</v>
      </c>
      <c r="DN20" s="79">
        <v>5.5340011044227326</v>
      </c>
      <c r="DO20" s="80">
        <f t="shared" si="5"/>
        <v>5.545069106631578</v>
      </c>
      <c r="DP20" s="80">
        <f t="shared" si="5"/>
        <v>5.5561592448448414</v>
      </c>
      <c r="DQ20" s="80">
        <f t="shared" si="5"/>
        <v>5.5672715633345309</v>
      </c>
      <c r="DR20" s="80">
        <f t="shared" si="5"/>
        <v>5.5784061064612001</v>
      </c>
      <c r="DS20" s="80">
        <f t="shared" si="6"/>
        <v>5.6007197308870449</v>
      </c>
      <c r="DT20" s="80">
        <f t="shared" si="6"/>
        <v>5.6231226098105935</v>
      </c>
      <c r="DU20" s="80">
        <f t="shared" si="6"/>
        <v>5.6456151002498363</v>
      </c>
      <c r="DV20" s="80">
        <f t="shared" si="6"/>
        <v>5.6681975606508352</v>
      </c>
      <c r="DW20" s="80">
        <f t="shared" si="7"/>
        <v>5.7022067460147401</v>
      </c>
      <c r="DX20" s="80">
        <f t="shared" si="7"/>
        <v>5.7364199864908283</v>
      </c>
      <c r="DY20" s="80">
        <f t="shared" si="7"/>
        <v>5.7708385064097731</v>
      </c>
      <c r="DZ20" s="80">
        <f t="shared" si="7"/>
        <v>5.8054635374482322</v>
      </c>
      <c r="EA20" s="80">
        <f t="shared" si="8"/>
        <v>5.8484239676253482</v>
      </c>
      <c r="EB20" s="80">
        <f t="shared" si="8"/>
        <v>5.8917023049857749</v>
      </c>
      <c r="EC20" s="80">
        <f t="shared" si="8"/>
        <v>5.9353009020426688</v>
      </c>
      <c r="ED20" s="80">
        <f t="shared" si="8"/>
        <v>5.979222128717784</v>
      </c>
      <c r="EE20" s="80">
        <f t="shared" si="9"/>
        <v>6.0276538279603979</v>
      </c>
      <c r="EF20" s="80">
        <f t="shared" si="9"/>
        <v>6.0764778239668775</v>
      </c>
      <c r="EG20" s="80">
        <f t="shared" si="10"/>
        <v>6.1074678608691091</v>
      </c>
      <c r="EH20" s="80">
        <f t="shared" si="10"/>
        <v>6.1386159469595425</v>
      </c>
    </row>
    <row r="21" spans="1:138">
      <c r="C21" s="17">
        <v>0.34444444444444439</v>
      </c>
      <c r="D21" s="17">
        <v>0.35244444444444439</v>
      </c>
      <c r="E21" s="17">
        <v>0.3604444444444444</v>
      </c>
      <c r="F21" s="17">
        <v>0.36844444444444441</v>
      </c>
      <c r="G21" s="17">
        <v>0.37644444444444441</v>
      </c>
      <c r="H21" s="17">
        <v>0.38444444444444442</v>
      </c>
      <c r="I21" s="17">
        <v>0.39244444444444443</v>
      </c>
      <c r="J21" s="17">
        <v>0.40044444444444444</v>
      </c>
      <c r="K21" s="17">
        <v>0.4673846153846154</v>
      </c>
      <c r="L21" s="17">
        <v>0.47538461538461541</v>
      </c>
      <c r="M21" s="17">
        <v>0.48338461538461541</v>
      </c>
      <c r="N21" s="17">
        <v>0.49138461538461542</v>
      </c>
      <c r="O21" s="17">
        <v>0.46011764705882358</v>
      </c>
      <c r="P21" s="17">
        <v>0.46835294117647064</v>
      </c>
      <c r="Q21" s="17">
        <v>0.47658823529411765</v>
      </c>
      <c r="R21" s="17">
        <v>0.48482352941176476</v>
      </c>
      <c r="S21" s="17">
        <v>0.49305882352941183</v>
      </c>
      <c r="T21" s="17">
        <v>0.50129411764705889</v>
      </c>
      <c r="U21" s="17">
        <v>0.5095294117647059</v>
      </c>
      <c r="V21" s="20">
        <v>0.5095294117647059</v>
      </c>
      <c r="W21" s="20">
        <v>0.5095294117647059</v>
      </c>
      <c r="X21" s="20">
        <v>0.5095294117647059</v>
      </c>
      <c r="Y21" s="20">
        <v>0.5095294117647059</v>
      </c>
      <c r="Z21" s="20">
        <v>0.5095294117647059</v>
      </c>
      <c r="AA21" s="20">
        <v>0.5095294117647059</v>
      </c>
      <c r="AB21" s="20">
        <v>0.5095294117647059</v>
      </c>
      <c r="AC21" s="20">
        <v>0.5095294117647059</v>
      </c>
      <c r="AD21" s="20">
        <v>0.5095294117647059</v>
      </c>
      <c r="AE21" s="20">
        <v>0.5095294117647059</v>
      </c>
      <c r="AF21" s="20">
        <v>0.5095294117647059</v>
      </c>
      <c r="AG21" s="20">
        <v>0.5095294117647059</v>
      </c>
      <c r="AH21" s="20">
        <v>0.5095294117647059</v>
      </c>
      <c r="AI21" s="20">
        <v>0.5095294117647059</v>
      </c>
      <c r="AJ21" s="20">
        <v>0.5095294117647059</v>
      </c>
      <c r="AK21" s="20">
        <v>0.5095294117647059</v>
      </c>
      <c r="AL21" s="20">
        <v>0.5095294117647059</v>
      </c>
      <c r="AM21" s="20">
        <v>0.5095294117647059</v>
      </c>
      <c r="AN21" s="20">
        <v>0.5095294117647059</v>
      </c>
      <c r="AO21" s="20">
        <v>0.5095294117647059</v>
      </c>
      <c r="AP21" s="20">
        <v>0.5095294117647059</v>
      </c>
      <c r="AQ21" s="20"/>
      <c r="AR21" s="20"/>
      <c r="AS21" s="20"/>
      <c r="AT21" s="20"/>
      <c r="AY21" s="84">
        <f>'Aglis Total Tonnage'!C21</f>
        <v>0</v>
      </c>
      <c r="AZ21" s="84">
        <f>'Aglis Total Tonnage'!D21</f>
        <v>0</v>
      </c>
      <c r="BA21" s="84">
        <f>'Aglis Total Tonnage'!E21</f>
        <v>0</v>
      </c>
      <c r="BB21" s="84">
        <f>'Aglis Total Tonnage'!F21</f>
        <v>0</v>
      </c>
      <c r="BC21" s="84">
        <f>'Aglis Total Tonnage'!G21</f>
        <v>0</v>
      </c>
      <c r="BD21" s="84">
        <f>'Aglis Total Tonnage'!H21</f>
        <v>0</v>
      </c>
      <c r="BE21" s="84">
        <f>'Aglis Total Tonnage'!I21</f>
        <v>0</v>
      </c>
      <c r="BF21" s="84">
        <f>'Aglis Total Tonnage'!J21</f>
        <v>0</v>
      </c>
      <c r="BG21" s="84">
        <f>'Aglis Total Tonnage'!K21</f>
        <v>0</v>
      </c>
      <c r="BH21" s="84">
        <f>'Aglis Total Tonnage'!L21</f>
        <v>0</v>
      </c>
      <c r="BI21" s="84">
        <f>'Aglis Total Tonnage'!M21</f>
        <v>0</v>
      </c>
      <c r="BJ21" s="84">
        <f>'Aglis Total Tonnage'!N21</f>
        <v>0</v>
      </c>
      <c r="BK21" s="84">
        <f>'Aglis Total Tonnage'!O21</f>
        <v>0</v>
      </c>
      <c r="BL21" s="84">
        <f>'Aglis Total Tonnage'!P21</f>
        <v>0</v>
      </c>
      <c r="BM21" s="84">
        <f>'Aglis Total Tonnage'!Q21</f>
        <v>0</v>
      </c>
      <c r="BN21" s="84">
        <f>'Aglis Total Tonnage'!R21</f>
        <v>0</v>
      </c>
      <c r="BO21" s="84">
        <f>'Aglis Total Tonnage'!S21</f>
        <v>0</v>
      </c>
      <c r="BP21" s="84">
        <f>'Aglis Total Tonnage'!T21</f>
        <v>0</v>
      </c>
      <c r="BQ21" s="84">
        <f>'Aglis Total Tonnage'!U21</f>
        <v>0</v>
      </c>
      <c r="BR21" s="84">
        <f>'Aglis Total Tonnage'!V21</f>
        <v>0</v>
      </c>
      <c r="BS21" s="84">
        <f>'Aglis Total Tonnage'!W21</f>
        <v>0</v>
      </c>
      <c r="BT21" s="84">
        <f>'Aglis Total Tonnage'!X21</f>
        <v>0</v>
      </c>
      <c r="BU21" s="84">
        <f>'Aglis Total Tonnage'!Y21</f>
        <v>0</v>
      </c>
      <c r="BV21" s="84">
        <f>'Aglis Total Tonnage'!Z21</f>
        <v>0</v>
      </c>
      <c r="BW21" s="84">
        <f>'Aglis Total Tonnage'!AA21</f>
        <v>0</v>
      </c>
      <c r="BX21" s="84">
        <f>'Aglis Total Tonnage'!AB21</f>
        <v>0</v>
      </c>
      <c r="BY21" s="84">
        <f>'Aglis Total Tonnage'!AC21</f>
        <v>0</v>
      </c>
      <c r="BZ21" s="84">
        <f>'Aglis Total Tonnage'!AD21</f>
        <v>0</v>
      </c>
      <c r="CA21" s="84">
        <f>'Aglis Total Tonnage'!AE21</f>
        <v>0</v>
      </c>
      <c r="CB21" s="84">
        <f>'Aglis Total Tonnage'!AF21</f>
        <v>0</v>
      </c>
      <c r="CC21" s="84">
        <f>'Aglis Total Tonnage'!AG21</f>
        <v>0</v>
      </c>
      <c r="CD21" s="84">
        <f>'Aglis Total Tonnage'!AH21</f>
        <v>0</v>
      </c>
      <c r="CE21" s="84">
        <f>'Aglis Total Tonnage'!AI21</f>
        <v>0</v>
      </c>
      <c r="CF21" s="84">
        <f>'Aglis Total Tonnage'!AJ21</f>
        <v>0</v>
      </c>
      <c r="CG21" s="84">
        <f>'Aglis Total Tonnage'!AK21</f>
        <v>0</v>
      </c>
      <c r="CH21" s="84">
        <f>'Aglis Total Tonnage'!AL21</f>
        <v>0</v>
      </c>
      <c r="CI21" s="84">
        <f>'Aglis Total Tonnage'!AM21</f>
        <v>0</v>
      </c>
      <c r="CJ21" s="84">
        <f>'Aglis Total Tonnage'!AN21</f>
        <v>0</v>
      </c>
      <c r="CK21" s="84">
        <f>'Aglis Total Tonnage'!AO21</f>
        <v>0</v>
      </c>
      <c r="CL21" s="84">
        <f>'Aglis Total Tonnage'!AP21</f>
        <v>0</v>
      </c>
      <c r="CM21" s="84"/>
      <c r="CN21" s="84"/>
      <c r="CO21" s="84"/>
      <c r="CP21" s="84"/>
      <c r="CU21" s="75">
        <v>0</v>
      </c>
      <c r="CV21" s="75">
        <v>0</v>
      </c>
      <c r="CW21" s="75">
        <v>0</v>
      </c>
      <c r="CX21" s="75">
        <v>0</v>
      </c>
      <c r="CY21" s="75">
        <v>0</v>
      </c>
      <c r="CZ21" s="75">
        <v>0</v>
      </c>
      <c r="DA21" s="75">
        <v>0</v>
      </c>
      <c r="DB21" s="75">
        <v>0</v>
      </c>
      <c r="DC21" s="75">
        <v>0</v>
      </c>
      <c r="DD21" s="75">
        <v>0</v>
      </c>
      <c r="DE21" s="75">
        <v>0</v>
      </c>
      <c r="DF21" s="75">
        <v>0</v>
      </c>
      <c r="DG21" s="75">
        <v>0</v>
      </c>
      <c r="DH21" s="75">
        <v>0</v>
      </c>
      <c r="DI21" s="75">
        <v>0</v>
      </c>
      <c r="DJ21" s="75">
        <v>0</v>
      </c>
      <c r="DK21" s="75">
        <v>0</v>
      </c>
      <c r="DL21" s="75">
        <v>0</v>
      </c>
      <c r="DM21" s="75">
        <v>0</v>
      </c>
      <c r="DN21" s="75">
        <v>0</v>
      </c>
      <c r="DO21" s="75">
        <v>0</v>
      </c>
      <c r="DP21" s="75">
        <v>0</v>
      </c>
      <c r="DQ21" s="75">
        <v>0</v>
      </c>
      <c r="DR21" s="75">
        <v>0</v>
      </c>
      <c r="DS21" s="75">
        <v>0</v>
      </c>
      <c r="DT21" s="75">
        <v>0</v>
      </c>
      <c r="DU21" s="75">
        <v>0</v>
      </c>
      <c r="DV21" s="75">
        <v>0</v>
      </c>
      <c r="DW21" s="75">
        <v>0</v>
      </c>
      <c r="DX21" s="75">
        <v>0</v>
      </c>
      <c r="DY21" s="75">
        <v>0</v>
      </c>
      <c r="DZ21" s="75">
        <v>0</v>
      </c>
      <c r="EA21" s="75">
        <v>0</v>
      </c>
      <c r="EB21" s="75">
        <v>0</v>
      </c>
      <c r="EC21" s="75">
        <v>0</v>
      </c>
      <c r="ED21" s="75">
        <v>0</v>
      </c>
      <c r="EE21" s="75">
        <v>0</v>
      </c>
      <c r="EF21" s="75">
        <v>0</v>
      </c>
      <c r="EG21" s="75">
        <v>0</v>
      </c>
      <c r="EH21" s="75">
        <v>0</v>
      </c>
    </row>
    <row r="22" spans="1:138">
      <c r="X22" s="118"/>
      <c r="Y22" s="118"/>
      <c r="AA22" s="118"/>
      <c r="AB22" s="118"/>
      <c r="AE22" s="118"/>
      <c r="AF22" s="118"/>
      <c r="AH22" s="118"/>
      <c r="AI22" s="118"/>
      <c r="AK22" s="118"/>
      <c r="AL22" s="118"/>
      <c r="AN22" s="118"/>
      <c r="AO22" s="118"/>
      <c r="AQ22" s="118"/>
      <c r="AR22" s="118"/>
    </row>
    <row r="23" spans="1:138">
      <c r="Y23" s="57"/>
      <c r="AB23" s="57"/>
      <c r="AD23" s="78"/>
      <c r="AF23" s="57"/>
      <c r="AI23" s="57"/>
      <c r="AL23" s="57"/>
      <c r="AO23" s="57"/>
      <c r="AR23" s="57"/>
    </row>
    <row r="24" spans="1:138">
      <c r="A24" s="118" t="s">
        <v>33</v>
      </c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Y24" s="57"/>
      <c r="AB24" s="57"/>
      <c r="AF24" s="57"/>
      <c r="AI24" s="57"/>
      <c r="AL24" s="57"/>
      <c r="AO24" s="57"/>
      <c r="AR24" s="57"/>
    </row>
    <row r="25" spans="1:138">
      <c r="A25" s="117"/>
      <c r="B25" s="117"/>
      <c r="C25" s="119">
        <v>2022</v>
      </c>
      <c r="D25" s="120"/>
      <c r="E25" s="112">
        <v>2023</v>
      </c>
      <c r="F25" s="112"/>
      <c r="G25" s="112"/>
      <c r="H25" s="112"/>
      <c r="I25" s="116">
        <v>2024</v>
      </c>
      <c r="J25" s="116"/>
      <c r="K25" s="116"/>
      <c r="L25" s="116"/>
      <c r="M25" s="112">
        <v>2025</v>
      </c>
      <c r="N25" s="112"/>
      <c r="O25" s="112"/>
      <c r="P25" s="112"/>
      <c r="Q25" s="111">
        <v>2026</v>
      </c>
      <c r="R25" s="111"/>
      <c r="S25" s="111"/>
      <c r="T25" s="111"/>
    </row>
    <row r="26" spans="1:138">
      <c r="A26" s="117"/>
      <c r="B26" s="117"/>
      <c r="C26" s="19">
        <v>3</v>
      </c>
      <c r="D26" s="19">
        <v>4</v>
      </c>
      <c r="E26" s="19">
        <v>1</v>
      </c>
      <c r="F26" s="19">
        <v>2</v>
      </c>
      <c r="G26" s="19">
        <v>3</v>
      </c>
      <c r="H26" s="19">
        <v>4</v>
      </c>
      <c r="I26" s="19">
        <v>1</v>
      </c>
      <c r="J26" s="19">
        <v>2</v>
      </c>
      <c r="K26" s="19">
        <v>3</v>
      </c>
      <c r="L26" s="19">
        <v>4</v>
      </c>
      <c r="M26" s="19">
        <v>1</v>
      </c>
      <c r="N26" s="19">
        <v>2</v>
      </c>
      <c r="O26" s="19">
        <v>3</v>
      </c>
      <c r="P26" s="19">
        <v>4</v>
      </c>
      <c r="Q26" s="19">
        <v>1</v>
      </c>
      <c r="R26" s="19">
        <v>2</v>
      </c>
      <c r="S26" s="19">
        <v>3</v>
      </c>
      <c r="T26" s="19">
        <v>4</v>
      </c>
    </row>
    <row r="27" spans="1:138">
      <c r="A27" s="107">
        <v>1</v>
      </c>
      <c r="B27" s="47" t="s">
        <v>15</v>
      </c>
      <c r="C27" s="20">
        <v>0.4</v>
      </c>
      <c r="D27" s="20">
        <v>0.45</v>
      </c>
      <c r="E27" s="20">
        <v>0.5</v>
      </c>
      <c r="F27" s="20">
        <f t="shared" ref="F27:K27" si="11">E27+5%</f>
        <v>0.55000000000000004</v>
      </c>
      <c r="G27" s="20">
        <f t="shared" si="11"/>
        <v>0.60000000000000009</v>
      </c>
      <c r="H27" s="20">
        <f t="shared" si="11"/>
        <v>0.65000000000000013</v>
      </c>
      <c r="I27" s="20">
        <f t="shared" si="11"/>
        <v>0.70000000000000018</v>
      </c>
      <c r="J27" s="20">
        <f t="shared" si="11"/>
        <v>0.75000000000000022</v>
      </c>
      <c r="K27" s="20">
        <f t="shared" si="11"/>
        <v>0.80000000000000027</v>
      </c>
      <c r="L27" s="20">
        <v>0.8</v>
      </c>
      <c r="M27" s="20">
        <v>0.8</v>
      </c>
      <c r="N27" s="20">
        <v>0.8</v>
      </c>
      <c r="O27" s="20">
        <v>0.8</v>
      </c>
      <c r="P27" s="20">
        <v>0.8</v>
      </c>
      <c r="Q27" s="20">
        <v>0.8</v>
      </c>
      <c r="R27" s="20">
        <v>0.8</v>
      </c>
      <c r="S27" s="20">
        <v>0.8</v>
      </c>
      <c r="T27" s="20">
        <v>0.8</v>
      </c>
    </row>
    <row r="28" spans="1:138">
      <c r="A28" s="108"/>
      <c r="B28" s="47" t="s">
        <v>17</v>
      </c>
      <c r="C28" s="20">
        <v>0.2</v>
      </c>
      <c r="D28" s="20">
        <f t="shared" ref="D28:R31" si="12">C28+1%</f>
        <v>0.21000000000000002</v>
      </c>
      <c r="E28" s="20">
        <f t="shared" si="12"/>
        <v>0.22000000000000003</v>
      </c>
      <c r="F28" s="20">
        <f t="shared" si="12"/>
        <v>0.23000000000000004</v>
      </c>
      <c r="G28" s="20">
        <f t="shared" si="12"/>
        <v>0.24000000000000005</v>
      </c>
      <c r="H28" s="20">
        <f t="shared" si="12"/>
        <v>0.25000000000000006</v>
      </c>
      <c r="I28" s="20">
        <f t="shared" si="12"/>
        <v>0.26000000000000006</v>
      </c>
      <c r="J28" s="20">
        <f t="shared" si="12"/>
        <v>0.27000000000000007</v>
      </c>
      <c r="K28" s="20">
        <f t="shared" si="12"/>
        <v>0.28000000000000008</v>
      </c>
      <c r="L28" s="20">
        <f t="shared" si="12"/>
        <v>0.29000000000000009</v>
      </c>
      <c r="M28" s="20">
        <f t="shared" si="12"/>
        <v>0.3000000000000001</v>
      </c>
      <c r="N28" s="20">
        <v>0.3000000000000001</v>
      </c>
      <c r="O28" s="20">
        <v>0.3000000000000001</v>
      </c>
      <c r="P28" s="20">
        <v>0.3000000000000001</v>
      </c>
      <c r="Q28" s="20">
        <v>0.3000000000000001</v>
      </c>
      <c r="R28" s="20">
        <v>0.3000000000000001</v>
      </c>
      <c r="S28" s="20">
        <v>0.3000000000000001</v>
      </c>
      <c r="T28" s="20">
        <v>0.3000000000000001</v>
      </c>
    </row>
    <row r="29" spans="1:138">
      <c r="A29" s="108"/>
      <c r="B29" s="47" t="s">
        <v>14</v>
      </c>
      <c r="C29" s="20">
        <v>0.2</v>
      </c>
      <c r="D29" s="20">
        <f t="shared" si="12"/>
        <v>0.21000000000000002</v>
      </c>
      <c r="E29" s="20">
        <f t="shared" si="12"/>
        <v>0.22000000000000003</v>
      </c>
      <c r="F29" s="20">
        <f t="shared" si="12"/>
        <v>0.23000000000000004</v>
      </c>
      <c r="G29" s="20">
        <f t="shared" si="12"/>
        <v>0.24000000000000005</v>
      </c>
      <c r="H29" s="20">
        <f t="shared" si="12"/>
        <v>0.25000000000000006</v>
      </c>
      <c r="I29" s="20">
        <f t="shared" si="12"/>
        <v>0.26000000000000006</v>
      </c>
      <c r="J29" s="20">
        <f t="shared" si="12"/>
        <v>0.27000000000000007</v>
      </c>
      <c r="K29" s="20">
        <f t="shared" si="12"/>
        <v>0.28000000000000008</v>
      </c>
      <c r="L29" s="20">
        <f t="shared" si="12"/>
        <v>0.29000000000000009</v>
      </c>
      <c r="M29" s="20">
        <f t="shared" si="12"/>
        <v>0.3000000000000001</v>
      </c>
      <c r="N29" s="20">
        <v>0.3000000000000001</v>
      </c>
      <c r="O29" s="20">
        <v>0.3000000000000001</v>
      </c>
      <c r="P29" s="20">
        <v>0.3000000000000001</v>
      </c>
      <c r="Q29" s="20">
        <v>0.3000000000000001</v>
      </c>
      <c r="R29" s="20">
        <v>0.3000000000000001</v>
      </c>
      <c r="S29" s="20">
        <v>0.3000000000000001</v>
      </c>
      <c r="T29" s="20">
        <v>0.3000000000000001</v>
      </c>
    </row>
    <row r="30" spans="1:138">
      <c r="A30" s="108"/>
      <c r="B30" s="47" t="s">
        <v>16</v>
      </c>
      <c r="C30" s="20">
        <v>0.15</v>
      </c>
      <c r="D30" s="20">
        <f t="shared" si="12"/>
        <v>0.16</v>
      </c>
      <c r="E30" s="20">
        <f t="shared" si="12"/>
        <v>0.17</v>
      </c>
      <c r="F30" s="20">
        <f t="shared" si="12"/>
        <v>0.18000000000000002</v>
      </c>
      <c r="G30" s="20">
        <f t="shared" si="12"/>
        <v>0.19000000000000003</v>
      </c>
      <c r="H30" s="20">
        <f t="shared" si="12"/>
        <v>0.20000000000000004</v>
      </c>
      <c r="I30" s="20">
        <f t="shared" si="12"/>
        <v>0.21000000000000005</v>
      </c>
      <c r="J30" s="20">
        <f t="shared" si="12"/>
        <v>0.22000000000000006</v>
      </c>
      <c r="K30" s="20">
        <f t="shared" si="12"/>
        <v>0.23000000000000007</v>
      </c>
      <c r="L30" s="20">
        <f t="shared" si="12"/>
        <v>0.24000000000000007</v>
      </c>
      <c r="M30" s="20">
        <f t="shared" si="12"/>
        <v>0.25000000000000006</v>
      </c>
      <c r="N30" s="20">
        <f t="shared" si="12"/>
        <v>0.26000000000000006</v>
      </c>
      <c r="O30" s="20">
        <f t="shared" si="12"/>
        <v>0.27000000000000007</v>
      </c>
      <c r="P30" s="20">
        <f t="shared" si="12"/>
        <v>0.28000000000000008</v>
      </c>
      <c r="Q30" s="20">
        <f t="shared" si="12"/>
        <v>0.29000000000000009</v>
      </c>
      <c r="R30" s="20">
        <f t="shared" si="12"/>
        <v>0.3000000000000001</v>
      </c>
      <c r="S30" s="20">
        <v>0.3000000000000001</v>
      </c>
      <c r="T30" s="20">
        <v>0.3000000000000001</v>
      </c>
    </row>
    <row r="31" spans="1:138">
      <c r="A31" s="109"/>
      <c r="B31" s="47" t="s">
        <v>18</v>
      </c>
      <c r="C31" s="19"/>
      <c r="D31" s="19"/>
      <c r="E31" s="19"/>
      <c r="F31" s="19"/>
      <c r="G31" s="20">
        <v>0.2</v>
      </c>
      <c r="H31" s="20">
        <f>G31+1%</f>
        <v>0.21000000000000002</v>
      </c>
      <c r="I31" s="20">
        <f t="shared" si="12"/>
        <v>0.22000000000000003</v>
      </c>
      <c r="J31" s="20">
        <f t="shared" si="12"/>
        <v>0.23000000000000004</v>
      </c>
      <c r="K31" s="20">
        <f t="shared" si="12"/>
        <v>0.24000000000000005</v>
      </c>
      <c r="L31" s="20">
        <f t="shared" si="12"/>
        <v>0.25000000000000006</v>
      </c>
      <c r="M31" s="20">
        <f t="shared" si="12"/>
        <v>0.26000000000000006</v>
      </c>
      <c r="N31" s="20">
        <f t="shared" si="12"/>
        <v>0.27000000000000007</v>
      </c>
      <c r="O31" s="20">
        <f t="shared" si="12"/>
        <v>0.28000000000000008</v>
      </c>
      <c r="P31" s="20">
        <f t="shared" si="12"/>
        <v>0.29000000000000009</v>
      </c>
      <c r="Q31" s="20">
        <f t="shared" si="12"/>
        <v>0.3000000000000001</v>
      </c>
      <c r="R31" s="20">
        <v>0.3</v>
      </c>
      <c r="S31" s="20">
        <v>0.3</v>
      </c>
      <c r="T31" s="20">
        <v>0.3</v>
      </c>
    </row>
    <row r="32" spans="1:138">
      <c r="A32" s="107">
        <v>2</v>
      </c>
      <c r="B32" s="48" t="s">
        <v>20</v>
      </c>
      <c r="C32" s="19"/>
      <c r="D32" s="19"/>
      <c r="E32" s="19"/>
      <c r="F32" s="19"/>
      <c r="G32" s="20">
        <v>0.6</v>
      </c>
      <c r="H32" s="20">
        <f t="shared" ref="H32:K33" si="13">G32+5%</f>
        <v>0.65</v>
      </c>
      <c r="I32" s="20">
        <f t="shared" si="13"/>
        <v>0.70000000000000007</v>
      </c>
      <c r="J32" s="20">
        <f t="shared" si="13"/>
        <v>0.75000000000000011</v>
      </c>
      <c r="K32" s="20">
        <f t="shared" si="13"/>
        <v>0.80000000000000016</v>
      </c>
      <c r="L32" s="20">
        <v>0.8</v>
      </c>
      <c r="M32" s="20">
        <v>0.8</v>
      </c>
      <c r="N32" s="20">
        <v>0.8</v>
      </c>
      <c r="O32" s="20">
        <v>0.8</v>
      </c>
      <c r="P32" s="20">
        <v>0.8</v>
      </c>
      <c r="Q32" s="20">
        <v>0.8</v>
      </c>
      <c r="R32" s="20">
        <v>0.8</v>
      </c>
      <c r="S32" s="20">
        <v>0.8</v>
      </c>
      <c r="T32" s="20">
        <v>0.8</v>
      </c>
      <c r="BT32" t="s">
        <v>34</v>
      </c>
    </row>
    <row r="33" spans="1:20">
      <c r="A33" s="108"/>
      <c r="B33" s="48" t="s">
        <v>19</v>
      </c>
      <c r="C33" s="19"/>
      <c r="D33" s="19"/>
      <c r="E33" s="19"/>
      <c r="F33" s="19"/>
      <c r="G33" s="20">
        <v>0.5</v>
      </c>
      <c r="H33" s="20">
        <f t="shared" si="13"/>
        <v>0.55000000000000004</v>
      </c>
      <c r="I33" s="20">
        <f t="shared" si="13"/>
        <v>0.60000000000000009</v>
      </c>
      <c r="J33" s="20">
        <f t="shared" si="13"/>
        <v>0.65000000000000013</v>
      </c>
      <c r="K33" s="20">
        <f t="shared" si="13"/>
        <v>0.70000000000000018</v>
      </c>
      <c r="L33" s="20">
        <f>K33+5%</f>
        <v>0.75000000000000022</v>
      </c>
      <c r="M33" s="20">
        <f>L33+5%</f>
        <v>0.80000000000000027</v>
      </c>
      <c r="N33" s="20">
        <v>0.8</v>
      </c>
      <c r="O33" s="20">
        <v>0.8</v>
      </c>
      <c r="P33" s="20">
        <v>0.8</v>
      </c>
      <c r="Q33" s="20">
        <v>0.8</v>
      </c>
      <c r="R33" s="20">
        <v>0.8</v>
      </c>
      <c r="S33" s="20">
        <v>0.8</v>
      </c>
      <c r="T33" s="20">
        <v>0.8</v>
      </c>
    </row>
    <row r="34" spans="1:20">
      <c r="A34" s="108"/>
      <c r="B34" s="48" t="s">
        <v>21</v>
      </c>
      <c r="C34" s="19"/>
      <c r="D34" s="19"/>
      <c r="E34" s="19"/>
      <c r="F34" s="19"/>
      <c r="G34" s="20">
        <v>0.2</v>
      </c>
      <c r="H34" s="20">
        <f t="shared" ref="H34:Q34" si="14">G34+2%</f>
        <v>0.22</v>
      </c>
      <c r="I34" s="20">
        <f t="shared" si="14"/>
        <v>0.24</v>
      </c>
      <c r="J34" s="20">
        <f t="shared" si="14"/>
        <v>0.26</v>
      </c>
      <c r="K34" s="20">
        <f t="shared" si="14"/>
        <v>0.28000000000000003</v>
      </c>
      <c r="L34" s="20">
        <f t="shared" si="14"/>
        <v>0.30000000000000004</v>
      </c>
      <c r="M34" s="20">
        <f t="shared" si="14"/>
        <v>0.32000000000000006</v>
      </c>
      <c r="N34" s="20">
        <f t="shared" si="14"/>
        <v>0.34000000000000008</v>
      </c>
      <c r="O34" s="20">
        <f t="shared" si="14"/>
        <v>0.3600000000000001</v>
      </c>
      <c r="P34" s="20">
        <f t="shared" si="14"/>
        <v>0.38000000000000012</v>
      </c>
      <c r="Q34" s="20">
        <f t="shared" si="14"/>
        <v>0.40000000000000013</v>
      </c>
      <c r="R34" s="20">
        <v>0.40000000000000013</v>
      </c>
      <c r="S34" s="20">
        <v>0.40000000000000013</v>
      </c>
      <c r="T34" s="20">
        <v>0.40000000000000013</v>
      </c>
    </row>
    <row r="35" spans="1:20">
      <c r="A35" s="109"/>
      <c r="B35" s="49" t="s">
        <v>22</v>
      </c>
      <c r="C35" s="19"/>
      <c r="D35" s="19"/>
      <c r="E35" s="19"/>
      <c r="F35" s="19"/>
      <c r="G35" s="19"/>
      <c r="H35" s="19"/>
      <c r="I35" s="19"/>
      <c r="J35" s="19"/>
      <c r="K35" s="20">
        <v>0.6</v>
      </c>
      <c r="L35" s="20">
        <f t="shared" ref="L35:O35" si="15">K35+5%</f>
        <v>0.65</v>
      </c>
      <c r="M35" s="20">
        <f t="shared" si="15"/>
        <v>0.70000000000000007</v>
      </c>
      <c r="N35" s="20">
        <f t="shared" si="15"/>
        <v>0.75000000000000011</v>
      </c>
      <c r="O35" s="20">
        <f t="shared" si="15"/>
        <v>0.80000000000000016</v>
      </c>
      <c r="P35" s="20">
        <v>0.8</v>
      </c>
      <c r="Q35" s="20">
        <v>0.8</v>
      </c>
      <c r="R35" s="20">
        <v>0.8</v>
      </c>
      <c r="S35" s="20">
        <v>0.8</v>
      </c>
      <c r="T35" s="20">
        <v>0.8</v>
      </c>
    </row>
    <row r="36" spans="1:20">
      <c r="A36" s="107">
        <v>3</v>
      </c>
      <c r="B36" s="50" t="s">
        <v>24</v>
      </c>
      <c r="C36" s="19"/>
      <c r="D36" s="19"/>
      <c r="E36" s="19"/>
      <c r="F36" s="19"/>
      <c r="G36" s="19"/>
      <c r="H36" s="19"/>
      <c r="I36" s="19"/>
      <c r="J36" s="19"/>
      <c r="K36" s="20">
        <v>0.2</v>
      </c>
      <c r="L36" s="20">
        <f t="shared" ref="L36:T36" si="16">K36+2%</f>
        <v>0.22</v>
      </c>
      <c r="M36" s="20">
        <f t="shared" si="16"/>
        <v>0.24</v>
      </c>
      <c r="N36" s="20">
        <f t="shared" si="16"/>
        <v>0.26</v>
      </c>
      <c r="O36" s="20">
        <f t="shared" si="16"/>
        <v>0.28000000000000003</v>
      </c>
      <c r="P36" s="20">
        <f t="shared" si="16"/>
        <v>0.30000000000000004</v>
      </c>
      <c r="Q36" s="20">
        <f t="shared" si="16"/>
        <v>0.32000000000000006</v>
      </c>
      <c r="R36" s="20">
        <f t="shared" si="16"/>
        <v>0.34000000000000008</v>
      </c>
      <c r="S36" s="20">
        <f t="shared" si="16"/>
        <v>0.3600000000000001</v>
      </c>
      <c r="T36" s="20">
        <f t="shared" si="16"/>
        <v>0.38000000000000012</v>
      </c>
    </row>
    <row r="37" spans="1:20">
      <c r="A37" s="108"/>
      <c r="B37" s="50" t="s">
        <v>25</v>
      </c>
      <c r="C37" s="19"/>
      <c r="D37" s="19"/>
      <c r="E37" s="19"/>
      <c r="F37" s="19"/>
      <c r="G37" s="19"/>
      <c r="H37" s="19"/>
      <c r="I37" s="19"/>
      <c r="J37" s="19"/>
      <c r="K37" s="20">
        <v>0.6</v>
      </c>
      <c r="L37" s="20">
        <f t="shared" ref="L37:O37" si="17">K37+5%</f>
        <v>0.65</v>
      </c>
      <c r="M37" s="20">
        <f t="shared" si="17"/>
        <v>0.70000000000000007</v>
      </c>
      <c r="N37" s="20">
        <f t="shared" si="17"/>
        <v>0.75000000000000011</v>
      </c>
      <c r="O37" s="20">
        <f t="shared" si="17"/>
        <v>0.80000000000000016</v>
      </c>
      <c r="P37" s="20">
        <v>0.8</v>
      </c>
      <c r="Q37" s="20">
        <v>0.8</v>
      </c>
      <c r="R37" s="20">
        <v>0.8</v>
      </c>
      <c r="S37" s="20">
        <v>0.8</v>
      </c>
      <c r="T37" s="20">
        <v>0.8</v>
      </c>
    </row>
    <row r="38" spans="1:20">
      <c r="A38" s="108"/>
      <c r="B38" s="50" t="s">
        <v>26</v>
      </c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20">
        <v>0.6</v>
      </c>
      <c r="P38" s="20">
        <f t="shared" ref="P38:S41" si="18">O38+5%</f>
        <v>0.65</v>
      </c>
      <c r="Q38" s="20">
        <f t="shared" si="18"/>
        <v>0.70000000000000007</v>
      </c>
      <c r="R38" s="20">
        <f t="shared" si="18"/>
        <v>0.75000000000000011</v>
      </c>
      <c r="S38" s="20">
        <f t="shared" si="18"/>
        <v>0.80000000000000016</v>
      </c>
      <c r="T38" s="20">
        <v>0.8</v>
      </c>
    </row>
    <row r="39" spans="1:20">
      <c r="A39" s="109"/>
      <c r="B39" s="50" t="s">
        <v>28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20">
        <v>0.6</v>
      </c>
      <c r="P39" s="20">
        <f t="shared" si="18"/>
        <v>0.65</v>
      </c>
      <c r="Q39" s="20">
        <f t="shared" si="18"/>
        <v>0.70000000000000007</v>
      </c>
      <c r="R39" s="20">
        <f t="shared" si="18"/>
        <v>0.75000000000000011</v>
      </c>
      <c r="S39" s="20">
        <f t="shared" si="18"/>
        <v>0.80000000000000016</v>
      </c>
      <c r="T39" s="20">
        <v>0.8</v>
      </c>
    </row>
    <row r="40" spans="1:20">
      <c r="A40" s="107">
        <v>4</v>
      </c>
      <c r="B40" s="51" t="s">
        <v>30</v>
      </c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20">
        <v>0.6</v>
      </c>
      <c r="P40" s="20">
        <f t="shared" si="18"/>
        <v>0.65</v>
      </c>
      <c r="Q40" s="20">
        <f t="shared" si="18"/>
        <v>0.70000000000000007</v>
      </c>
      <c r="R40" s="20">
        <f t="shared" si="18"/>
        <v>0.75000000000000011</v>
      </c>
      <c r="S40" s="20">
        <f t="shared" si="18"/>
        <v>0.80000000000000016</v>
      </c>
      <c r="T40" s="20">
        <v>0.8</v>
      </c>
    </row>
    <row r="41" spans="1:20">
      <c r="A41" s="108"/>
      <c r="B41" s="52" t="s">
        <v>31</v>
      </c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20">
        <v>0.6</v>
      </c>
      <c r="P41" s="20">
        <f t="shared" si="18"/>
        <v>0.65</v>
      </c>
      <c r="Q41" s="20">
        <f t="shared" si="18"/>
        <v>0.70000000000000007</v>
      </c>
      <c r="R41" s="20">
        <f t="shared" si="18"/>
        <v>0.75000000000000011</v>
      </c>
      <c r="S41" s="20">
        <f t="shared" si="18"/>
        <v>0.80000000000000016</v>
      </c>
      <c r="T41" s="20">
        <v>0.8</v>
      </c>
    </row>
    <row r="42" spans="1:20">
      <c r="A42" s="108"/>
      <c r="B42" s="52" t="s">
        <v>32</v>
      </c>
      <c r="C42" s="17">
        <f t="shared" ref="C42:T42" si="19">AVERAGE(C27:C41)</f>
        <v>0.23750000000000002</v>
      </c>
      <c r="D42" s="17">
        <f t="shared" si="19"/>
        <v>0.25750000000000001</v>
      </c>
      <c r="E42" s="17">
        <f t="shared" si="19"/>
        <v>0.27749999999999997</v>
      </c>
      <c r="F42" s="17">
        <f t="shared" si="19"/>
        <v>0.29749999999999999</v>
      </c>
      <c r="G42" s="17">
        <f t="shared" si="19"/>
        <v>0.34625</v>
      </c>
      <c r="H42" s="17">
        <f t="shared" si="19"/>
        <v>0.3725</v>
      </c>
      <c r="I42" s="17">
        <f t="shared" si="19"/>
        <v>0.39875000000000005</v>
      </c>
      <c r="J42" s="17">
        <f t="shared" si="19"/>
        <v>0.42500000000000004</v>
      </c>
      <c r="K42" s="17">
        <f t="shared" si="19"/>
        <v>0.45545454545454545</v>
      </c>
      <c r="L42" s="17">
        <f t="shared" si="19"/>
        <v>0.47636363636363638</v>
      </c>
      <c r="M42" s="17">
        <f t="shared" si="19"/>
        <v>0.49727272727272731</v>
      </c>
      <c r="N42" s="17">
        <f t="shared" si="19"/>
        <v>0.51181818181818184</v>
      </c>
      <c r="O42" s="17">
        <f t="shared" si="19"/>
        <v>0.54599999999999993</v>
      </c>
      <c r="P42" s="17">
        <f t="shared" si="19"/>
        <v>0.56333333333333335</v>
      </c>
      <c r="Q42" s="17">
        <f t="shared" si="19"/>
        <v>0.58066666666666655</v>
      </c>
      <c r="R42" s="17">
        <f t="shared" si="19"/>
        <v>0.59599999999999997</v>
      </c>
      <c r="S42" s="17">
        <f t="shared" si="19"/>
        <v>0.61066666666666669</v>
      </c>
      <c r="T42" s="17">
        <f t="shared" si="19"/>
        <v>0.61199999999999999</v>
      </c>
    </row>
    <row r="43" spans="1:20" ht="15" thickBot="1">
      <c r="A43" s="109"/>
      <c r="B43" s="53" t="s">
        <v>29</v>
      </c>
    </row>
    <row r="51" spans="1:46">
      <c r="A51" s="19"/>
      <c r="B51" s="19"/>
      <c r="C51" s="115">
        <v>2023</v>
      </c>
      <c r="D51" s="115"/>
      <c r="E51" s="115"/>
      <c r="F51" s="115"/>
      <c r="G51" s="112">
        <v>2024</v>
      </c>
      <c r="H51" s="112"/>
      <c r="I51" s="112"/>
      <c r="J51" s="112"/>
      <c r="K51" s="116">
        <v>2025</v>
      </c>
      <c r="L51" s="116"/>
      <c r="M51" s="116"/>
      <c r="N51" s="116"/>
      <c r="O51" s="112">
        <v>2026</v>
      </c>
      <c r="P51" s="112"/>
      <c r="Q51" s="112"/>
      <c r="R51" s="112"/>
      <c r="S51" s="111">
        <v>2027</v>
      </c>
      <c r="T51" s="111"/>
      <c r="U51" s="111"/>
      <c r="V51" s="111"/>
      <c r="W51" s="112">
        <v>2028</v>
      </c>
      <c r="X51" s="112"/>
      <c r="Y51" s="112"/>
      <c r="Z51" s="112"/>
      <c r="AA51" s="111">
        <v>2029</v>
      </c>
      <c r="AB51" s="111"/>
      <c r="AC51" s="111"/>
      <c r="AD51" s="111"/>
      <c r="AE51" s="112">
        <v>2030</v>
      </c>
      <c r="AF51" s="112"/>
      <c r="AG51" s="112"/>
      <c r="AH51" s="112"/>
      <c r="AI51" s="111">
        <v>2031</v>
      </c>
      <c r="AJ51" s="111"/>
      <c r="AK51" s="111"/>
      <c r="AL51" s="111"/>
      <c r="AM51" s="112">
        <v>2032</v>
      </c>
      <c r="AN51" s="112"/>
      <c r="AO51" s="112"/>
      <c r="AP51" s="112"/>
      <c r="AQ51" s="111">
        <v>2033</v>
      </c>
      <c r="AR51" s="111"/>
      <c r="AS51" s="111"/>
      <c r="AT51" s="111"/>
    </row>
    <row r="52" spans="1:46">
      <c r="A52" s="19"/>
      <c r="B52" s="19"/>
      <c r="C52" s="70">
        <v>1</v>
      </c>
      <c r="D52" s="70">
        <v>2</v>
      </c>
      <c r="E52" s="70">
        <v>3</v>
      </c>
      <c r="F52" s="70">
        <v>4</v>
      </c>
      <c r="G52" s="70">
        <v>1</v>
      </c>
      <c r="H52" s="70">
        <v>2</v>
      </c>
      <c r="I52" s="70">
        <v>3</v>
      </c>
      <c r="J52" s="70">
        <v>4</v>
      </c>
      <c r="K52" s="70">
        <v>1</v>
      </c>
      <c r="L52" s="70">
        <v>2</v>
      </c>
      <c r="M52" s="70">
        <v>3</v>
      </c>
      <c r="N52" s="70">
        <v>4</v>
      </c>
      <c r="O52" s="70">
        <v>1</v>
      </c>
      <c r="P52" s="70">
        <v>2</v>
      </c>
      <c r="Q52" s="70">
        <v>3</v>
      </c>
      <c r="R52" s="70">
        <v>4</v>
      </c>
      <c r="S52" s="70">
        <v>1</v>
      </c>
      <c r="T52" s="70">
        <v>2</v>
      </c>
      <c r="U52" s="70">
        <v>3</v>
      </c>
      <c r="V52" s="70">
        <v>4</v>
      </c>
      <c r="W52" s="70">
        <v>1</v>
      </c>
      <c r="X52" s="70">
        <v>2</v>
      </c>
      <c r="Y52" s="70">
        <v>3</v>
      </c>
      <c r="Z52" s="70">
        <v>4</v>
      </c>
      <c r="AA52" s="70">
        <v>1</v>
      </c>
      <c r="AB52" s="70">
        <v>2</v>
      </c>
      <c r="AC52" s="70">
        <v>3</v>
      </c>
      <c r="AD52" s="70">
        <v>4</v>
      </c>
      <c r="AE52" s="70">
        <v>1</v>
      </c>
      <c r="AF52" s="70">
        <v>2</v>
      </c>
      <c r="AG52" s="70">
        <v>3</v>
      </c>
      <c r="AH52" s="70">
        <v>4</v>
      </c>
      <c r="AI52" s="70">
        <v>1</v>
      </c>
      <c r="AJ52" s="70">
        <v>2</v>
      </c>
      <c r="AK52" s="70">
        <v>3</v>
      </c>
      <c r="AL52" s="70">
        <v>4</v>
      </c>
      <c r="AM52" s="70">
        <v>1</v>
      </c>
      <c r="AN52" s="70">
        <v>2</v>
      </c>
      <c r="AO52" s="70">
        <v>3</v>
      </c>
      <c r="AP52" s="70">
        <v>4</v>
      </c>
      <c r="AQ52" s="70">
        <v>1</v>
      </c>
      <c r="AR52" s="70">
        <v>2</v>
      </c>
      <c r="AS52" s="70">
        <v>3</v>
      </c>
      <c r="AT52" s="70">
        <v>4</v>
      </c>
    </row>
    <row r="53" spans="1:46">
      <c r="C53" s="75">
        <v>0</v>
      </c>
      <c r="D53" s="75">
        <v>0</v>
      </c>
      <c r="E53" s="75">
        <v>0</v>
      </c>
      <c r="F53" s="75">
        <v>0</v>
      </c>
      <c r="G53" s="75">
        <v>6.0771000000002573E-2</v>
      </c>
      <c r="H53" s="75">
        <v>0.14854500000000037</v>
      </c>
      <c r="I53" s="75">
        <v>6.4219000000001358E-2</v>
      </c>
      <c r="J53" s="75">
        <v>6.5943000000002527E-2</v>
      </c>
      <c r="K53" s="75">
        <v>0.14176236500000527</v>
      </c>
      <c r="L53" s="75">
        <v>0.14537414500000345</v>
      </c>
      <c r="M53" s="75">
        <v>0.14898592500000518</v>
      </c>
      <c r="N53" s="75">
        <v>0.15259770500000336</v>
      </c>
      <c r="O53" s="75">
        <v>0.24544461932500994</v>
      </c>
      <c r="P53" s="75">
        <v>0.25111963942500992</v>
      </c>
      <c r="Q53" s="75">
        <v>0.25679465952500991</v>
      </c>
      <c r="R53" s="75">
        <v>0.26246967962500989</v>
      </c>
      <c r="S53" s="75">
        <v>0.37451018608763675</v>
      </c>
      <c r="T53" s="75">
        <v>0.38243632759213497</v>
      </c>
      <c r="U53" s="75">
        <v>0.3903624690966403</v>
      </c>
      <c r="V53" s="75">
        <v>0.39828861060113852</v>
      </c>
      <c r="W53" s="75">
        <v>-0.49777540247248808</v>
      </c>
      <c r="X53" s="75">
        <v>-0.45557095327743369</v>
      </c>
      <c r="Y53" s="75">
        <v>-0.41328209518398751</v>
      </c>
      <c r="Z53" s="75">
        <v>-0.37090865937435424</v>
      </c>
      <c r="AA53" s="75">
        <v>-0.28599229401185156</v>
      </c>
      <c r="AB53" s="75">
        <v>-0.20073626318789906</v>
      </c>
      <c r="AC53" s="75">
        <v>-0.11513920824064883</v>
      </c>
      <c r="AD53" s="75">
        <v>-2.9199765073609996E-2</v>
      </c>
      <c r="AE53" s="75">
        <v>0.10022503633594937</v>
      </c>
      <c r="AF53" s="75">
        <v>0.2304263865539653</v>
      </c>
      <c r="AG53" s="75">
        <v>0.36140894487328978</v>
      </c>
      <c r="AH53" s="75">
        <v>0.49317739854252807</v>
      </c>
      <c r="AI53" s="75">
        <v>0.65666691129174026</v>
      </c>
      <c r="AJ53" s="75">
        <v>0.82136624643529643</v>
      </c>
      <c r="AK53" s="75">
        <v>0.98728435665891467</v>
      </c>
      <c r="AL53" s="75">
        <v>1.154430260898188</v>
      </c>
      <c r="AM53" s="75">
        <v>1.3387411460114649</v>
      </c>
      <c r="AN53" s="75">
        <v>1.5245449492941567</v>
      </c>
      <c r="AO53" s="75">
        <v>1.6424801285355599</v>
      </c>
      <c r="AP53" s="75">
        <v>1.7610167771910952</v>
      </c>
    </row>
    <row r="54" spans="1:46">
      <c r="C54" s="75">
        <v>0</v>
      </c>
      <c r="D54" s="75">
        <v>0</v>
      </c>
      <c r="E54" s="75">
        <v>0</v>
      </c>
      <c r="F54" s="75">
        <v>0</v>
      </c>
      <c r="G54" s="75">
        <v>6.796200000000141E-2</v>
      </c>
      <c r="H54" s="75">
        <v>6.9890000000000896E-2</v>
      </c>
      <c r="I54" s="75">
        <v>7.1818000000002158E-2</v>
      </c>
      <c r="J54" s="75">
        <v>7.3746000000001644E-2</v>
      </c>
      <c r="K54" s="75">
        <v>0.15853703000000507</v>
      </c>
      <c r="L54" s="75">
        <v>0.1625761900000029</v>
      </c>
      <c r="M54" s="75">
        <v>0.16661535000000427</v>
      </c>
      <c r="N54" s="75">
        <v>0.17065451000000209</v>
      </c>
      <c r="O54" s="75">
        <v>0.27448795015000726</v>
      </c>
      <c r="P54" s="75">
        <v>0.28083449235000657</v>
      </c>
      <c r="Q54" s="75">
        <v>0.28718103455000588</v>
      </c>
      <c r="R54" s="75">
        <v>0.29352757675000518</v>
      </c>
      <c r="S54" s="75">
        <v>0</v>
      </c>
      <c r="T54" s="75">
        <v>0</v>
      </c>
      <c r="U54" s="75">
        <v>0</v>
      </c>
      <c r="V54" s="75">
        <v>0</v>
      </c>
      <c r="W54" s="75">
        <v>4.3199999999998795E-2</v>
      </c>
      <c r="X54" s="75">
        <v>8.6486399999998298E-2</v>
      </c>
      <c r="Y54" s="75">
        <v>0.1298593727999986</v>
      </c>
      <c r="Z54" s="75">
        <v>0.1733190915455971</v>
      </c>
      <c r="AA54" s="75">
        <v>0.2604123679117798</v>
      </c>
      <c r="AB54" s="75">
        <v>0.34785401738342614</v>
      </c>
      <c r="AC54" s="75">
        <v>0.43564543345296158</v>
      </c>
      <c r="AD54" s="75">
        <v>0.5237880151867742</v>
      </c>
      <c r="AE54" s="75">
        <v>0.6565307432778944</v>
      </c>
      <c r="AF54" s="75">
        <v>0.79006992773756224</v>
      </c>
      <c r="AG54" s="75">
        <v>0.92441034730398641</v>
      </c>
      <c r="AH54" s="75">
        <v>1.0595568093878107</v>
      </c>
      <c r="AI54" s="75">
        <v>1.2272375297772768</v>
      </c>
      <c r="AJ54" s="75">
        <v>1.396159087497626</v>
      </c>
      <c r="AK54" s="75">
        <v>1.5663306647451058</v>
      </c>
      <c r="AL54" s="75">
        <v>1.7377615116642176</v>
      </c>
      <c r="AM54" s="75">
        <v>1.9267973799086988</v>
      </c>
      <c r="AN54" s="75">
        <v>2.1173644386859607</v>
      </c>
      <c r="AO54" s="75">
        <v>2.2383229973232623</v>
      </c>
      <c r="AP54" s="75">
        <v>2.3598984446096125</v>
      </c>
    </row>
    <row r="55" spans="1:46">
      <c r="C55" s="75">
        <v>0</v>
      </c>
      <c r="D55" s="75">
        <v>0</v>
      </c>
      <c r="E55" s="75">
        <v>0</v>
      </c>
      <c r="F55" s="75">
        <v>0</v>
      </c>
      <c r="G55" s="75">
        <v>6.3732000000001676E-2</v>
      </c>
      <c r="H55" s="75">
        <v>6.5540000000002152E-2</v>
      </c>
      <c r="I55" s="75">
        <v>6.7348000000002628E-2</v>
      </c>
      <c r="J55" s="75">
        <v>6.9156000000003104E-2</v>
      </c>
      <c r="K55" s="75">
        <v>0.14866958000000352</v>
      </c>
      <c r="L55" s="75">
        <v>0.1524573400000051</v>
      </c>
      <c r="M55" s="75">
        <v>0.15624510000000313</v>
      </c>
      <c r="N55" s="75">
        <v>0.16003286000000472</v>
      </c>
      <c r="O55" s="75">
        <v>0.25740363790000842</v>
      </c>
      <c r="P55" s="75">
        <v>0.26335516710000917</v>
      </c>
      <c r="Q55" s="75">
        <v>0.26930669630000637</v>
      </c>
      <c r="R55" s="75">
        <v>0.27525822550000711</v>
      </c>
      <c r="S55" s="75">
        <v>0.39275778216151025</v>
      </c>
      <c r="T55" s="75">
        <v>0.4010701161755108</v>
      </c>
      <c r="U55" s="75">
        <v>0.36267474518949783</v>
      </c>
      <c r="V55" s="75">
        <v>0</v>
      </c>
      <c r="W55" s="75">
        <v>4.3199999999998795E-2</v>
      </c>
      <c r="X55" s="75">
        <v>8.6486399999998298E-2</v>
      </c>
      <c r="Y55" s="75">
        <v>0.1298593727999986</v>
      </c>
      <c r="Z55" s="75">
        <v>0.1733190915455971</v>
      </c>
      <c r="AA55" s="75">
        <v>0.2604123679117798</v>
      </c>
      <c r="AB55" s="75">
        <v>0.34785401738342614</v>
      </c>
      <c r="AC55" s="75">
        <v>0.43564543345296158</v>
      </c>
      <c r="AD55" s="75">
        <v>0.5237880151867742</v>
      </c>
      <c r="AE55" s="75">
        <v>0.6565307432778944</v>
      </c>
      <c r="AF55" s="75">
        <v>0.79006992773756224</v>
      </c>
      <c r="AG55" s="75">
        <v>0.92441034730398641</v>
      </c>
      <c r="AH55" s="75">
        <v>1.0595568093878107</v>
      </c>
      <c r="AI55" s="75">
        <v>1.2272375297772768</v>
      </c>
      <c r="AJ55" s="75">
        <v>1.396159087497626</v>
      </c>
      <c r="AK55" s="75">
        <v>1.5663306647451058</v>
      </c>
      <c r="AL55" s="75">
        <v>1.7377615116642176</v>
      </c>
      <c r="AM55" s="75">
        <v>1.9267973799086988</v>
      </c>
      <c r="AN55" s="75">
        <v>2.1173644386859607</v>
      </c>
      <c r="AO55" s="75">
        <v>2.2383229973232623</v>
      </c>
      <c r="AP55" s="75">
        <v>2.3598984446096125</v>
      </c>
    </row>
    <row r="56" spans="1:46">
      <c r="C56" s="75">
        <v>0</v>
      </c>
      <c r="D56" s="75">
        <v>0</v>
      </c>
      <c r="E56" s="75">
        <v>0</v>
      </c>
      <c r="F56" s="75">
        <v>0</v>
      </c>
      <c r="G56" s="75">
        <v>4.1041000000001659E-2</v>
      </c>
      <c r="H56" s="75">
        <v>4.2845000000001576E-2</v>
      </c>
      <c r="I56" s="75">
        <v>4.4649000000001493E-2</v>
      </c>
      <c r="J56" s="75">
        <v>4.645300000000141E-2</v>
      </c>
      <c r="K56" s="75">
        <v>0.10109841500000272</v>
      </c>
      <c r="L56" s="75">
        <v>0.10487779500000016</v>
      </c>
      <c r="M56" s="75">
        <v>0.10865717500000116</v>
      </c>
      <c r="N56" s="75">
        <v>0.11243655500000216</v>
      </c>
      <c r="O56" s="75">
        <v>0.18260463457500364</v>
      </c>
      <c r="P56" s="75">
        <v>0.18854299667500385</v>
      </c>
      <c r="Q56" s="75">
        <v>0.19448135877500405</v>
      </c>
      <c r="R56" s="75">
        <v>0.20041972087500426</v>
      </c>
      <c r="S56" s="75">
        <v>0.28821455033387977</v>
      </c>
      <c r="T56" s="75">
        <v>0.29650849422838021</v>
      </c>
      <c r="U56" s="75">
        <v>0.30480243812287888</v>
      </c>
      <c r="V56" s="75">
        <v>-0.12545827298261969</v>
      </c>
      <c r="W56" s="75">
        <v>-1.2737523319358353</v>
      </c>
      <c r="X56" s="75">
        <v>-1.6910765403642998</v>
      </c>
      <c r="Y56" s="75">
        <v>-2.1083361523234103</v>
      </c>
      <c r="Z56" s="75">
        <v>-2.5255310386202261</v>
      </c>
      <c r="AA56" s="75">
        <v>-3.7751298328050957</v>
      </c>
      <c r="AB56" s="75">
        <v>-4.1797405227106097</v>
      </c>
      <c r="AC56" s="75">
        <v>-4.5840902335635612</v>
      </c>
      <c r="AD56" s="75">
        <v>-4.9881779214477504</v>
      </c>
      <c r="AE56" s="75">
        <v>-4.9932446903075842</v>
      </c>
      <c r="AF56" s="75">
        <v>-4.8936041584494312</v>
      </c>
      <c r="AG56" s="75">
        <v>-4.7933657834001266</v>
      </c>
      <c r="AH56" s="75">
        <v>-4.6925259781005266</v>
      </c>
      <c r="AI56" s="75">
        <v>-4.5674106703384716</v>
      </c>
      <c r="AJ56" s="75">
        <v>-4.4413695092989798</v>
      </c>
      <c r="AK56" s="75">
        <v>-4.3143956436677939</v>
      </c>
      <c r="AL56" s="75">
        <v>-4.1864821714309386</v>
      </c>
      <c r="AM56" s="75">
        <v>-4.0454326770195301</v>
      </c>
      <c r="AN56" s="75">
        <v>-3.9032406817033873</v>
      </c>
      <c r="AO56" s="75">
        <v>-3.8129872091800721</v>
      </c>
      <c r="AP56" s="75">
        <v>-3.7222734439468894</v>
      </c>
    </row>
    <row r="57" spans="1:46">
      <c r="C57" s="75">
        <v>0</v>
      </c>
      <c r="D57" s="75">
        <v>0</v>
      </c>
      <c r="E57" s="75">
        <v>0</v>
      </c>
      <c r="F57" s="75">
        <v>0</v>
      </c>
      <c r="G57" s="75">
        <v>3.8743999999999446E-2</v>
      </c>
      <c r="H57" s="75">
        <v>4.0080000000001448E-2</v>
      </c>
      <c r="I57" s="75">
        <v>4.1415999999999897E-2</v>
      </c>
      <c r="J57" s="75">
        <v>4.2752000000000123E-2</v>
      </c>
      <c r="K57" s="75">
        <v>9.2364360000003032E-2</v>
      </c>
      <c r="L57" s="75">
        <v>9.516328000000307E-2</v>
      </c>
      <c r="M57" s="75">
        <v>9.7962200000001332E-2</v>
      </c>
      <c r="N57" s="75">
        <v>0.10076112000000315</v>
      </c>
      <c r="O57" s="75">
        <v>0.16271902180000275</v>
      </c>
      <c r="P57" s="75">
        <v>0.16711683320000326</v>
      </c>
      <c r="Q57" s="75">
        <v>0.17151464460000376</v>
      </c>
      <c r="R57" s="75">
        <v>0.17591245600000249</v>
      </c>
      <c r="S57" s="75">
        <v>0.25183429643300492</v>
      </c>
      <c r="T57" s="75">
        <v>0.25797659634600478</v>
      </c>
      <c r="U57" s="75">
        <v>0.26411889625900464</v>
      </c>
      <c r="V57" s="75">
        <v>0.2702611961720045</v>
      </c>
      <c r="W57" s="75">
        <v>-0.66504681058117043</v>
      </c>
      <c r="X57" s="75">
        <v>-0.96938853470656561</v>
      </c>
      <c r="Y57" s="75">
        <v>-1.2736729826527302</v>
      </c>
      <c r="Z57" s="75">
        <v>-1.5779000398673038</v>
      </c>
      <c r="AA57" s="75">
        <v>-2.5874798188281503</v>
      </c>
      <c r="AB57" s="75">
        <v>-2.8775927180123055</v>
      </c>
      <c r="AC57" s="75">
        <v>-3.1674742131717579</v>
      </c>
      <c r="AD57" s="75">
        <v>-3.4571233786904152</v>
      </c>
      <c r="AE57" s="75">
        <v>-4.5471592001315493</v>
      </c>
      <c r="AF57" s="75">
        <v>-4.8224325510428265</v>
      </c>
      <c r="AG57" s="75">
        <v>-5.0971758083729686</v>
      </c>
      <c r="AH57" s="75">
        <v>-5.3713857915604883</v>
      </c>
      <c r="AI57" s="75">
        <v>-6.4976012315063532</v>
      </c>
      <c r="AJ57" s="75">
        <v>-6.3858434806195028</v>
      </c>
      <c r="AK57" s="75">
        <v>-6.2732587223760898</v>
      </c>
      <c r="AL57" s="75">
        <v>-6.1598408369216759</v>
      </c>
      <c r="AM57" s="75">
        <v>-6.0347755477007414</v>
      </c>
      <c r="AN57" s="75">
        <v>-5.9086972296371183</v>
      </c>
      <c r="AO57" s="75">
        <v>-5.8286715855082658</v>
      </c>
      <c r="AP57" s="75">
        <v>-5.7482378105943557</v>
      </c>
    </row>
    <row r="58" spans="1:46">
      <c r="C58" s="75">
        <v>0</v>
      </c>
      <c r="D58" s="75">
        <v>0</v>
      </c>
      <c r="E58" s="75">
        <v>0</v>
      </c>
      <c r="F58" s="75">
        <v>0</v>
      </c>
      <c r="G58" s="75">
        <v>5.8491000000001847E-2</v>
      </c>
      <c r="H58" s="75">
        <v>5.9295000000002318E-2</v>
      </c>
      <c r="I58" s="75">
        <v>6.0099000000001013E-2</v>
      </c>
      <c r="J58" s="75">
        <v>6.090300000000326E-2</v>
      </c>
      <c r="K58" s="75">
        <v>0.12927616500000561</v>
      </c>
      <c r="L58" s="75">
        <v>0.1309605450000042</v>
      </c>
      <c r="M58" s="75">
        <v>0.13264492500000458</v>
      </c>
      <c r="N58" s="75">
        <v>0.13432930500000495</v>
      </c>
      <c r="O58" s="75">
        <v>0.21371190832500631</v>
      </c>
      <c r="P58" s="75">
        <v>0.21635849542500729</v>
      </c>
      <c r="Q58" s="75">
        <v>0.2190050825250065</v>
      </c>
      <c r="R58" s="75">
        <v>0.22165166962500749</v>
      </c>
      <c r="S58" s="75">
        <v>0.31327108815263571</v>
      </c>
      <c r="T58" s="75">
        <v>0.31696750217213321</v>
      </c>
      <c r="U58" s="75">
        <v>0.32066391619163426</v>
      </c>
      <c r="V58" s="75">
        <v>0.32436033021113531</v>
      </c>
      <c r="W58" s="75">
        <v>-0.59892407092023703</v>
      </c>
      <c r="X58" s="75">
        <v>-0.76493944977220352</v>
      </c>
      <c r="Y58" s="75">
        <v>-0.93088608727072497</v>
      </c>
      <c r="Z58" s="75">
        <v>-1.0967638459330971</v>
      </c>
      <c r="AA58" s="75">
        <v>-2.0643565739501426</v>
      </c>
      <c r="AB58" s="75">
        <v>-2.2043287565054221</v>
      </c>
      <c r="AC58" s="75">
        <v>-2.3440232140786179</v>
      </c>
      <c r="AD58" s="75">
        <v>-2.4834388357698032</v>
      </c>
      <c r="AE58" s="75">
        <v>-3.4991308024141645</v>
      </c>
      <c r="AF58" s="75">
        <v>-3.6119233385198086</v>
      </c>
      <c r="AG58" s="75">
        <v>-3.7149546643839422</v>
      </c>
      <c r="AH58" s="75">
        <v>-3.607644392370247</v>
      </c>
      <c r="AI58" s="75">
        <v>-3.4745009608737902</v>
      </c>
      <c r="AJ58" s="75">
        <v>-3.3403722679842573</v>
      </c>
      <c r="AK58" s="75">
        <v>-3.2052510227673423</v>
      </c>
      <c r="AL58" s="75">
        <v>-3.0691298803358222</v>
      </c>
      <c r="AM58" s="75">
        <v>-2.9190298323665438</v>
      </c>
      <c r="AN58" s="75">
        <v>-2.7677139740087142</v>
      </c>
      <c r="AO58" s="75">
        <v>-2.671669315276155</v>
      </c>
      <c r="AP58" s="75">
        <v>-2.5751348287840621</v>
      </c>
    </row>
    <row r="59" spans="1:46">
      <c r="C59" s="75">
        <v>0</v>
      </c>
      <c r="D59" s="75">
        <v>0</v>
      </c>
      <c r="E59" s="75">
        <v>0</v>
      </c>
      <c r="F59" s="75">
        <v>0</v>
      </c>
      <c r="G59" s="75">
        <v>2.5030600000000902E-2</v>
      </c>
      <c r="H59" s="75">
        <v>2.540700000000129E-2</v>
      </c>
      <c r="I59" s="75">
        <v>2.5783400000001677E-2</v>
      </c>
      <c r="J59" s="75">
        <v>2.6159800000001177E-2</v>
      </c>
      <c r="K59" s="75">
        <v>5.5593339000001407E-2</v>
      </c>
      <c r="L59" s="75">
        <v>5.6381897000001402E-2</v>
      </c>
      <c r="M59" s="75">
        <v>5.7170455000001397E-2</v>
      </c>
      <c r="N59" s="75">
        <v>5.795901300000228E-2</v>
      </c>
      <c r="O59" s="75">
        <v>9.2307296195002664E-2</v>
      </c>
      <c r="P59" s="75">
        <v>9.3546320305001984E-2</v>
      </c>
      <c r="Q59" s="75">
        <v>9.4785344415002193E-2</v>
      </c>
      <c r="R59" s="75">
        <v>9.6024368525002401E-2</v>
      </c>
      <c r="S59" s="75">
        <v>0.13584505422857784</v>
      </c>
      <c r="T59" s="75">
        <v>0.13757556447352837</v>
      </c>
      <c r="U59" s="75">
        <v>0.139306074718478</v>
      </c>
      <c r="V59" s="75">
        <v>0.14103658496342852</v>
      </c>
      <c r="W59" s="75">
        <v>-0.26710269662699382</v>
      </c>
      <c r="X59" s="75">
        <v>-0.34597040320279859</v>
      </c>
      <c r="Y59" s="75">
        <v>-0.42480822003922203</v>
      </c>
      <c r="Z59" s="75">
        <v>-0.50361608735678409</v>
      </c>
      <c r="AA59" s="75">
        <v>-0.93252468000704436</v>
      </c>
      <c r="AB59" s="75">
        <v>-1.0003691077249037</v>
      </c>
      <c r="AC59" s="75">
        <v>-1.0680927765848427</v>
      </c>
      <c r="AD59" s="75">
        <v>-1.1356952035514274</v>
      </c>
      <c r="AE59" s="75">
        <v>-1.5871432267141277</v>
      </c>
      <c r="AF59" s="75">
        <v>-1.6434837611934476</v>
      </c>
      <c r="AG59" s="75">
        <v>-1.699547664808061</v>
      </c>
      <c r="AH59" s="75">
        <v>-1.7553332777727775</v>
      </c>
      <c r="AI59" s="75">
        <v>-2.2355365058398462</v>
      </c>
      <c r="AJ59" s="75">
        <v>-2.2842711352372582</v>
      </c>
      <c r="AK59" s="75">
        <v>-2.3325741884596169</v>
      </c>
      <c r="AL59" s="75">
        <v>-2.3804424718432262</v>
      </c>
      <c r="AM59" s="75">
        <v>-2.8967570655173613</v>
      </c>
      <c r="AN59" s="75">
        <v>-2.9428359736527963</v>
      </c>
      <c r="AO59" s="75">
        <v>-2.9570109814642525</v>
      </c>
      <c r="AP59" s="75">
        <v>-2.9150363839628231</v>
      </c>
    </row>
    <row r="60" spans="1:46">
      <c r="C60" s="75">
        <v>0</v>
      </c>
      <c r="D60" s="75">
        <v>0</v>
      </c>
      <c r="E60" s="75">
        <v>0</v>
      </c>
      <c r="F60" s="75">
        <v>0</v>
      </c>
      <c r="G60" s="75">
        <v>7.5544000000000722E-2</v>
      </c>
      <c r="H60" s="75">
        <v>7.668000000000319E-2</v>
      </c>
      <c r="I60" s="75">
        <v>7.7816000000002106E-2</v>
      </c>
      <c r="J60" s="75">
        <v>7.8952000000001021E-2</v>
      </c>
      <c r="K60" s="75">
        <v>0.16778436000000241</v>
      </c>
      <c r="L60" s="75">
        <v>0.17016428000000161</v>
      </c>
      <c r="M60" s="75">
        <v>0.17254420000000437</v>
      </c>
      <c r="N60" s="75">
        <v>0.17492412000000002</v>
      </c>
      <c r="O60" s="75">
        <v>0.27858950180000619</v>
      </c>
      <c r="P60" s="75">
        <v>0.28232895820000437</v>
      </c>
      <c r="Q60" s="75">
        <v>0.28606841460000254</v>
      </c>
      <c r="R60" s="75">
        <v>0.28980787100000427</v>
      </c>
      <c r="S60" s="75">
        <v>0.33119225413300057</v>
      </c>
      <c r="T60" s="75">
        <v>6.0252028071001718E-2</v>
      </c>
      <c r="U60" s="75">
        <v>0</v>
      </c>
      <c r="V60" s="75">
        <v>0</v>
      </c>
      <c r="W60" s="75">
        <v>4.3199999999998795E-2</v>
      </c>
      <c r="X60" s="75">
        <v>8.6486399999998298E-2</v>
      </c>
      <c r="Y60" s="75">
        <v>0.1298593727999986</v>
      </c>
      <c r="Z60" s="75">
        <v>0.1733190915455971</v>
      </c>
      <c r="AA60" s="75">
        <v>0.2604123679117798</v>
      </c>
      <c r="AB60" s="75">
        <v>0.34785401738342614</v>
      </c>
      <c r="AC60" s="75">
        <v>0.43564543345296158</v>
      </c>
      <c r="AD60" s="75">
        <v>0.5237880151867742</v>
      </c>
      <c r="AE60" s="75">
        <v>0.6565307432778944</v>
      </c>
      <c r="AF60" s="75">
        <v>0.79006992773756224</v>
      </c>
      <c r="AG60" s="75">
        <v>0.92441034730398641</v>
      </c>
      <c r="AH60" s="75">
        <v>1.0595568093878107</v>
      </c>
      <c r="AI60" s="75">
        <v>1.2272375297772768</v>
      </c>
      <c r="AJ60" s="75">
        <v>1.396159087497626</v>
      </c>
      <c r="AK60" s="75">
        <v>1.5663306647451058</v>
      </c>
      <c r="AL60" s="75">
        <v>1.7377615116642176</v>
      </c>
      <c r="AM60" s="75">
        <v>1.9267973799086988</v>
      </c>
      <c r="AN60" s="75">
        <v>2.1173644386859607</v>
      </c>
      <c r="AO60" s="75">
        <v>2.2383229973232623</v>
      </c>
      <c r="AP60" s="75">
        <v>2.3598984446096125</v>
      </c>
    </row>
    <row r="61" spans="1:46">
      <c r="C61" s="75">
        <v>0</v>
      </c>
      <c r="D61" s="75">
        <v>0</v>
      </c>
      <c r="E61" s="75">
        <v>0</v>
      </c>
      <c r="F61" s="75">
        <v>0</v>
      </c>
      <c r="G61" s="75">
        <v>3.2535000000001091E-2</v>
      </c>
      <c r="H61" s="75">
        <v>3.3075000000001076E-2</v>
      </c>
      <c r="I61" s="75">
        <v>3.3615000000001949E-2</v>
      </c>
      <c r="J61" s="75">
        <v>3.4155000000001046E-2</v>
      </c>
      <c r="K61" s="75">
        <v>7.2686025000002097E-2</v>
      </c>
      <c r="L61" s="75">
        <v>7.3817325000001155E-2</v>
      </c>
      <c r="M61" s="75">
        <v>7.4948625000001989E-2</v>
      </c>
      <c r="N61" s="75">
        <v>7.6079925000001936E-2</v>
      </c>
      <c r="O61" s="75">
        <v>0.12131836762500114</v>
      </c>
      <c r="P61" s="75">
        <v>0.12309592612500353</v>
      </c>
      <c r="Q61" s="75">
        <v>0.12487348462500236</v>
      </c>
      <c r="R61" s="75">
        <v>0.12665104312500297</v>
      </c>
      <c r="S61" s="75">
        <v>0.17937262807313026</v>
      </c>
      <c r="T61" s="75">
        <v>0.18185529420563107</v>
      </c>
      <c r="U61" s="75">
        <v>0.1843379603381301</v>
      </c>
      <c r="V61" s="75">
        <v>0.18682062647062914</v>
      </c>
      <c r="W61" s="75">
        <v>-0.3641321242359794</v>
      </c>
      <c r="X61" s="75">
        <v>-0.47892342123784104</v>
      </c>
      <c r="Y61" s="75">
        <v>-0.59367512553517443</v>
      </c>
      <c r="Z61" s="75">
        <v>-0.70838715794256935</v>
      </c>
      <c r="AA61" s="75">
        <v>-1.2891737194371675</v>
      </c>
      <c r="AB61" s="75">
        <v>-1.3898277537902342</v>
      </c>
      <c r="AC61" s="75">
        <v>-1.4903218279067794</v>
      </c>
      <c r="AD61" s="75">
        <v>-1.5906553019458567</v>
      </c>
      <c r="AE61" s="75">
        <v>-2.2038085219654775</v>
      </c>
      <c r="AF61" s="75">
        <v>-2.2897095600151189</v>
      </c>
      <c r="AG61" s="75">
        <v>-2.375244165826917</v>
      </c>
      <c r="AH61" s="75">
        <v>-2.4604101408074435</v>
      </c>
      <c r="AI61" s="75">
        <v>-3.1143639207065394</v>
      </c>
      <c r="AJ61" s="75">
        <v>-3.1906971769431252</v>
      </c>
      <c r="AK61" s="75">
        <v>-3.2664587564660827</v>
      </c>
      <c r="AL61" s="75">
        <v>-3.3416444288677312</v>
      </c>
      <c r="AM61" s="75">
        <v>-4.0463562007140244</v>
      </c>
      <c r="AN61" s="75">
        <v>-4.1197016374445745</v>
      </c>
      <c r="AO61" s="75">
        <v>-4.2248814237488101</v>
      </c>
      <c r="AP61" s="75">
        <v>-4.3297790857598564</v>
      </c>
    </row>
    <row r="62" spans="1:46">
      <c r="C62" s="75">
        <v>0</v>
      </c>
      <c r="D62" s="75">
        <v>0</v>
      </c>
      <c r="E62" s="75">
        <v>0</v>
      </c>
      <c r="F62" s="75">
        <v>0</v>
      </c>
      <c r="G62" s="75">
        <v>0</v>
      </c>
      <c r="H62" s="75">
        <v>0</v>
      </c>
      <c r="I62" s="75">
        <v>0</v>
      </c>
      <c r="J62" s="75">
        <v>0</v>
      </c>
      <c r="K62" s="75">
        <v>-1.4408522228621532</v>
      </c>
      <c r="L62" s="75">
        <v>-1.4618100733765118</v>
      </c>
      <c r="M62" s="75">
        <v>-1.4827679238908704</v>
      </c>
      <c r="N62" s="75">
        <v>-1.503725774405229</v>
      </c>
      <c r="O62" s="75">
        <v>-1.530053027840566</v>
      </c>
      <c r="P62" s="75">
        <v>-1.5510846845806423</v>
      </c>
      <c r="Q62" s="75">
        <v>-1.5721163413207169</v>
      </c>
      <c r="R62" s="75">
        <v>-1.593147998060795</v>
      </c>
      <c r="S62" s="75">
        <v>-1.6167632634572868</v>
      </c>
      <c r="T62" s="75">
        <v>-1.6378285828508687</v>
      </c>
      <c r="U62" s="75">
        <v>-1.6588939022444489</v>
      </c>
      <c r="V62" s="75">
        <v>-1.6799592216380272</v>
      </c>
      <c r="W62" s="75">
        <v>-2.6351948807155026</v>
      </c>
      <c r="X62" s="75">
        <v>-2.826879632639363</v>
      </c>
      <c r="Y62" s="75">
        <v>-3.0185031163517184</v>
      </c>
      <c r="Z62" s="75">
        <v>-3.2100652093161415</v>
      </c>
      <c r="AA62" s="75">
        <v>-4.2186160539756905</v>
      </c>
      <c r="AB62" s="75">
        <v>-4.3890561575379134</v>
      </c>
      <c r="AC62" s="75">
        <v>-4.5592487286892904</v>
      </c>
      <c r="AD62" s="75">
        <v>-4.7291927773001863</v>
      </c>
      <c r="AE62" s="75">
        <v>-5.795413777186134</v>
      </c>
      <c r="AF62" s="75">
        <v>-5.7543817459159889</v>
      </c>
      <c r="AG62" s="75">
        <v>-5.6593080363914847</v>
      </c>
      <c r="AH62" s="75">
        <v>-5.5636638846098343</v>
      </c>
      <c r="AI62" s="75">
        <v>-5.4449949973559484</v>
      </c>
      <c r="AJ62" s="75">
        <v>-5.3254479603363833</v>
      </c>
      <c r="AK62" s="75">
        <v>-5.2050162752428761</v>
      </c>
      <c r="AL62" s="75">
        <v>-5.0836933956796742</v>
      </c>
      <c r="AM62" s="75">
        <v>-4.9499113121846783</v>
      </c>
      <c r="AN62" s="75">
        <v>-4.8150455938133732</v>
      </c>
      <c r="AO62" s="75">
        <v>-4.7294423263418182</v>
      </c>
      <c r="AP62" s="75">
        <v>-4.6434024822061595</v>
      </c>
    </row>
    <row r="63" spans="1:46">
      <c r="C63" s="75">
        <v>0</v>
      </c>
      <c r="D63" s="75">
        <v>0</v>
      </c>
      <c r="E63" s="75">
        <v>0</v>
      </c>
      <c r="F63" s="75">
        <v>0</v>
      </c>
      <c r="G63" s="75">
        <v>0</v>
      </c>
      <c r="H63" s="75">
        <v>0</v>
      </c>
      <c r="I63" s="75">
        <v>0</v>
      </c>
      <c r="J63" s="75">
        <v>0</v>
      </c>
      <c r="K63" s="75">
        <v>-2.2759378907148946</v>
      </c>
      <c r="L63" s="75">
        <v>-2.3019486094659207</v>
      </c>
      <c r="M63" s="75">
        <v>-2.3279593282169486</v>
      </c>
      <c r="N63" s="75">
        <v>-2.3539700469679747</v>
      </c>
      <c r="O63" s="75">
        <v>-2.4322330519549507</v>
      </c>
      <c r="P63" s="75">
        <v>-2.4588148339435314</v>
      </c>
      <c r="Q63" s="75">
        <v>-2.4853966159321086</v>
      </c>
      <c r="R63" s="75">
        <v>-2.5119783979206876</v>
      </c>
      <c r="S63" s="75">
        <v>-2.5926886371264786</v>
      </c>
      <c r="T63" s="75">
        <v>-2.6198372092429842</v>
      </c>
      <c r="U63" s="75">
        <v>-2.6469857813594935</v>
      </c>
      <c r="V63" s="75">
        <v>-2.6741343534760009</v>
      </c>
      <c r="W63" s="75">
        <v>-3.5207744434551529</v>
      </c>
      <c r="X63" s="75">
        <v>-3.5779294543100715</v>
      </c>
      <c r="Y63" s="75">
        <v>-3.5517873318446007</v>
      </c>
      <c r="Z63" s="75">
        <v>-3.5255929251341982</v>
      </c>
      <c r="AA63" s="75">
        <v>-4.2223039150036072</v>
      </c>
      <c r="AB63" s="75">
        <v>-4.1696003495917697</v>
      </c>
      <c r="AC63" s="75">
        <v>-4.1166859699182847</v>
      </c>
      <c r="AD63" s="75">
        <v>-4.0635599327261058</v>
      </c>
      <c r="AE63" s="75">
        <v>-4.7664709077730105</v>
      </c>
      <c r="AF63" s="75">
        <v>-4.685983048889522</v>
      </c>
      <c r="AG63" s="75">
        <v>-4.6050122628527319</v>
      </c>
      <c r="AH63" s="75">
        <v>-4.5235556520997218</v>
      </c>
      <c r="AI63" s="75">
        <v>-5.2406398523940556</v>
      </c>
      <c r="AJ63" s="75">
        <v>-5.1388260323142951</v>
      </c>
      <c r="AK63" s="75">
        <v>-5.0362587899659452</v>
      </c>
      <c r="AL63" s="75">
        <v>-4.9329325500242174</v>
      </c>
      <c r="AM63" s="75">
        <v>-5.6739621521980546</v>
      </c>
      <c r="AN63" s="75">
        <v>-5.559101973915789</v>
      </c>
      <c r="AO63" s="75">
        <v>-5.486196815495493</v>
      </c>
      <c r="AP63" s="75">
        <v>-5.4129198407672536</v>
      </c>
    </row>
    <row r="64" spans="1:46">
      <c r="C64" s="75">
        <v>0</v>
      </c>
      <c r="D64" s="75">
        <v>0</v>
      </c>
      <c r="E64" s="75">
        <v>0</v>
      </c>
      <c r="F64" s="75">
        <v>0</v>
      </c>
      <c r="G64" s="75">
        <v>0</v>
      </c>
      <c r="H64" s="75">
        <v>0</v>
      </c>
      <c r="I64" s="75">
        <v>0</v>
      </c>
      <c r="J64" s="75">
        <v>0</v>
      </c>
      <c r="K64" s="75">
        <v>-2.3625951281121544</v>
      </c>
      <c r="L64" s="75">
        <v>-2.3895962152905774</v>
      </c>
      <c r="M64" s="75">
        <v>-2.4165973024690039</v>
      </c>
      <c r="N64" s="75">
        <v>-2.4435983896474287</v>
      </c>
      <c r="O64" s="75">
        <v>-2.5257839740171431</v>
      </c>
      <c r="P64" s="75">
        <v>-2.5533881704544896</v>
      </c>
      <c r="Q64" s="75">
        <v>-2.5809923668918362</v>
      </c>
      <c r="R64" s="75">
        <v>-2.6085965633291792</v>
      </c>
      <c r="S64" s="75">
        <v>-2.6934675441376026</v>
      </c>
      <c r="T64" s="75">
        <v>-2.7216713927673126</v>
      </c>
      <c r="U64" s="75">
        <v>-2.7498752413970262</v>
      </c>
      <c r="V64" s="75">
        <v>-2.7780790900267416</v>
      </c>
      <c r="W64" s="75">
        <v>-3.6450777717849174</v>
      </c>
      <c r="X64" s="75">
        <v>-3.7036817117388399</v>
      </c>
      <c r="Y64" s="75">
        <v>-3.6769935373481282</v>
      </c>
      <c r="Z64" s="75">
        <v>-3.6502519866086356</v>
      </c>
      <c r="AA64" s="75">
        <v>-4.3638115197459566</v>
      </c>
      <c r="AB64" s="75">
        <v>-4.3100070917932847</v>
      </c>
      <c r="AC64" s="75">
        <v>-4.2559874461288025</v>
      </c>
      <c r="AD64" s="75">
        <v>-4.2017517218816618</v>
      </c>
      <c r="AE64" s="75">
        <v>-4.9217440540215946</v>
      </c>
      <c r="AF64" s="75">
        <v>-4.8395749793011031</v>
      </c>
      <c r="AG64" s="75">
        <v>-4.7569128901322895</v>
      </c>
      <c r="AH64" s="75">
        <v>-4.6737548284284625</v>
      </c>
      <c r="AI64" s="75">
        <v>-5.4083243921717905</v>
      </c>
      <c r="AJ64" s="75">
        <v>-5.3043839034351876</v>
      </c>
      <c r="AK64" s="75">
        <v>-5.1996742550819341</v>
      </c>
      <c r="AL64" s="75">
        <v>-5.0941897553308664</v>
      </c>
      <c r="AM64" s="75">
        <v>-5.8533177049040592</v>
      </c>
      <c r="AN64" s="75">
        <v>-5.73605834799476</v>
      </c>
      <c r="AO64" s="75">
        <v>-5.6616303598131097</v>
      </c>
      <c r="AP64" s="75">
        <v>-5.5868227888917339</v>
      </c>
    </row>
    <row r="65" spans="3:42">
      <c r="C65" s="75">
        <v>0</v>
      </c>
      <c r="D65" s="75">
        <v>0</v>
      </c>
      <c r="E65" s="75">
        <v>0</v>
      </c>
      <c r="F65" s="75">
        <v>0</v>
      </c>
      <c r="G65" s="75">
        <v>0</v>
      </c>
      <c r="H65" s="75">
        <v>0</v>
      </c>
      <c r="I65" s="75">
        <v>0</v>
      </c>
      <c r="J65" s="75">
        <v>0</v>
      </c>
      <c r="K65" s="75">
        <v>-0.33958840499999976</v>
      </c>
      <c r="L65" s="75">
        <v>-0.3456255321999997</v>
      </c>
      <c r="M65" s="75">
        <v>-0.35166265940000052</v>
      </c>
      <c r="N65" s="75">
        <v>-0.35769978659999957</v>
      </c>
      <c r="O65" s="75">
        <v>-0.35455324488999906</v>
      </c>
      <c r="P65" s="75">
        <v>-0.36043794604999846</v>
      </c>
      <c r="Q65" s="75">
        <v>-0.36632264720999874</v>
      </c>
      <c r="R65" s="75">
        <v>-0.37220734836999902</v>
      </c>
      <c r="S65" s="75">
        <v>-0.36649556381749893</v>
      </c>
      <c r="T65" s="75">
        <v>-0.37219977492749923</v>
      </c>
      <c r="U65" s="75">
        <v>-0.37790398603749864</v>
      </c>
      <c r="V65" s="75">
        <v>-0.38360819714749805</v>
      </c>
      <c r="W65" s="75">
        <v>-0.77497009394586414</v>
      </c>
      <c r="X65" s="75">
        <v>-0.86604973231695759</v>
      </c>
      <c r="Y65" s="75">
        <v>-0.95710416529036646</v>
      </c>
      <c r="Z65" s="75">
        <v>-1.0481333424552979</v>
      </c>
      <c r="AA65" s="75">
        <v>-1.4635559457951484</v>
      </c>
      <c r="AB65" s="75">
        <v>-1.546445627715709</v>
      </c>
      <c r="AC65" s="75">
        <v>-1.6292334761944014</v>
      </c>
      <c r="AD65" s="75">
        <v>-1.7119190838974614</v>
      </c>
      <c r="AE65" s="75">
        <v>-2.1533887200917547</v>
      </c>
      <c r="AF65" s="75">
        <v>-2.227732911992204</v>
      </c>
      <c r="AG65" s="75">
        <v>-2.3018438268182857</v>
      </c>
      <c r="AH65" s="75">
        <v>-2.3757200649075569</v>
      </c>
      <c r="AI65" s="75">
        <v>-2.8490031584333524</v>
      </c>
      <c r="AJ65" s="75">
        <v>-2.9181409506425391</v>
      </c>
      <c r="AK65" s="75">
        <v>-2.9869148036087623</v>
      </c>
      <c r="AL65" s="75">
        <v>-3.055322024181625</v>
      </c>
      <c r="AM65" s="75">
        <v>-3.5671796388272901</v>
      </c>
      <c r="AN65" s="75">
        <v>-3.6353397563646519</v>
      </c>
      <c r="AO65" s="75">
        <v>-3.7237661691837323</v>
      </c>
      <c r="AP65" s="75">
        <v>-3.8120129768182096</v>
      </c>
    </row>
    <row r="66" spans="3:42">
      <c r="C66" s="75">
        <v>0</v>
      </c>
      <c r="D66" s="75">
        <v>0</v>
      </c>
      <c r="E66" s="75">
        <v>0</v>
      </c>
      <c r="F66" s="75">
        <v>0</v>
      </c>
      <c r="G66" s="75">
        <v>0</v>
      </c>
      <c r="H66" s="75">
        <v>0</v>
      </c>
      <c r="I66" s="75">
        <v>0</v>
      </c>
      <c r="J66" s="75">
        <v>0</v>
      </c>
      <c r="K66" s="75">
        <v>0</v>
      </c>
      <c r="L66" s="75">
        <v>0</v>
      </c>
      <c r="M66" s="75">
        <v>0</v>
      </c>
      <c r="N66" s="75">
        <v>0</v>
      </c>
      <c r="O66" s="75">
        <v>1.3397966958435772</v>
      </c>
      <c r="P66" s="75">
        <v>1.3412100879725566</v>
      </c>
      <c r="Q66" s="75">
        <v>1.3426234801015378</v>
      </c>
      <c r="R66" s="75">
        <v>1.3440368722305189</v>
      </c>
      <c r="S66" s="75">
        <v>1.4483690724115643</v>
      </c>
      <c r="T66" s="75">
        <v>1.4503431175811397</v>
      </c>
      <c r="U66" s="75">
        <v>1.452317162750715</v>
      </c>
      <c r="V66" s="75">
        <v>1.4542912079202903</v>
      </c>
      <c r="W66" s="75">
        <v>1.0166212633596139</v>
      </c>
      <c r="X66" s="75">
        <v>0.92806645065372884</v>
      </c>
      <c r="Y66" s="75">
        <v>0.83954855798630135</v>
      </c>
      <c r="Z66" s="75">
        <v>0.75106765919740681</v>
      </c>
      <c r="AA66" s="75">
        <v>0.29232968374455481</v>
      </c>
      <c r="AB66" s="75">
        <v>0.21778975440494897</v>
      </c>
      <c r="AC66" s="75">
        <v>0.14339898734547063</v>
      </c>
      <c r="AD66" s="75">
        <v>6.9157979215241028E-2</v>
      </c>
      <c r="AE66" s="75">
        <v>-0.41255631332534115</v>
      </c>
      <c r="AF66" s="75">
        <v>-0.47246975271629488</v>
      </c>
      <c r="AG66" s="75">
        <v>-0.53204149551253366</v>
      </c>
      <c r="AH66" s="75">
        <v>-0.59126949153448827</v>
      </c>
      <c r="AI66" s="75">
        <v>-1.1033439462080405</v>
      </c>
      <c r="AJ66" s="75">
        <v>-1.1534269653044174</v>
      </c>
      <c r="AK66" s="75">
        <v>-1.2029768981541427</v>
      </c>
      <c r="AL66" s="75">
        <v>-1.2519897999189915</v>
      </c>
      <c r="AM66" s="75">
        <v>-1.8032002730444088</v>
      </c>
      <c r="AN66" s="75">
        <v>-1.8495477777607778</v>
      </c>
      <c r="AO66" s="75">
        <v>-1.9255806860002576</v>
      </c>
      <c r="AP66" s="75">
        <v>-2.001350514465873</v>
      </c>
    </row>
    <row r="67" spans="3:42">
      <c r="C67" s="75">
        <v>0</v>
      </c>
      <c r="D67" s="75">
        <v>0</v>
      </c>
      <c r="E67" s="75">
        <v>0</v>
      </c>
      <c r="F67" s="75">
        <v>0</v>
      </c>
      <c r="G67" s="75">
        <v>0</v>
      </c>
      <c r="H67" s="75">
        <v>0</v>
      </c>
      <c r="I67" s="75">
        <v>0</v>
      </c>
      <c r="J67" s="75">
        <v>0</v>
      </c>
      <c r="K67" s="75">
        <v>0</v>
      </c>
      <c r="L67" s="75">
        <v>0</v>
      </c>
      <c r="M67" s="75">
        <v>0</v>
      </c>
      <c r="N67" s="75">
        <v>0</v>
      </c>
      <c r="O67" s="75">
        <v>1.5764500256333376</v>
      </c>
      <c r="P67" s="75">
        <v>1.5781241082834709</v>
      </c>
      <c r="Q67" s="75">
        <v>1.5797981909336043</v>
      </c>
      <c r="R67" s="75">
        <v>1.5814722735837368</v>
      </c>
      <c r="S67" s="75">
        <v>1.7008974498403955</v>
      </c>
      <c r="T67" s="75">
        <v>1.7032355941537851</v>
      </c>
      <c r="U67" s="75">
        <v>1.7055737384671747</v>
      </c>
      <c r="V67" s="75">
        <v>1.7079118827805626</v>
      </c>
      <c r="W67" s="75">
        <v>1.2220854375881398</v>
      </c>
      <c r="X67" s="75">
        <v>1.1156487930569732</v>
      </c>
      <c r="Y67" s="75">
        <v>1.0092527812097511</v>
      </c>
      <c r="Z67" s="75">
        <v>0.90289748331184327</v>
      </c>
      <c r="AA67" s="75">
        <v>0.39208207752141355</v>
      </c>
      <c r="AB67" s="75">
        <v>0.30066568246253667</v>
      </c>
      <c r="AC67" s="75">
        <v>0.20941344930701078</v>
      </c>
      <c r="AD67" s="75">
        <v>0.11832603470244507</v>
      </c>
      <c r="AE67" s="75">
        <v>-0.41973233145864697</v>
      </c>
      <c r="AF67" s="75">
        <v>-0.49547354596303705</v>
      </c>
      <c r="AG67" s="75">
        <v>-0.57083870317393881</v>
      </c>
      <c r="AH67" s="75">
        <v>-0.64582554674758619</v>
      </c>
      <c r="AI67" s="75">
        <v>-1.21941724299006</v>
      </c>
      <c r="AJ67" s="75">
        <v>-1.2847806311126302</v>
      </c>
      <c r="AK67" s="75">
        <v>-1.3495573263204506</v>
      </c>
      <c r="AL67" s="75">
        <v>-1.4137429870859517</v>
      </c>
      <c r="AM67" s="75">
        <v>-2.0327011736192873</v>
      </c>
      <c r="AN67" s="75">
        <v>-2.0944143904114352</v>
      </c>
      <c r="AO67" s="75">
        <v>-2.1887981479048495</v>
      </c>
      <c r="AP67" s="75">
        <v>-2.2828923705616226</v>
      </c>
    </row>
    <row r="68" spans="3:42">
      <c r="C68" s="75">
        <v>0</v>
      </c>
      <c r="D68" s="75">
        <v>0</v>
      </c>
      <c r="E68" s="75">
        <v>0</v>
      </c>
      <c r="F68" s="75">
        <v>0</v>
      </c>
      <c r="G68" s="75">
        <v>0</v>
      </c>
      <c r="H68" s="75">
        <v>0</v>
      </c>
      <c r="I68" s="75">
        <v>0</v>
      </c>
      <c r="J68" s="75">
        <v>0</v>
      </c>
      <c r="K68" s="75">
        <v>0</v>
      </c>
      <c r="L68" s="75">
        <v>0</v>
      </c>
      <c r="M68" s="75">
        <v>0</v>
      </c>
      <c r="N68" s="75">
        <v>0</v>
      </c>
      <c r="O68" s="75">
        <v>1.1173522063589911</v>
      </c>
      <c r="P68" s="75">
        <v>1.1918423534495903</v>
      </c>
      <c r="Q68" s="75">
        <v>1.2663325005401891</v>
      </c>
      <c r="R68" s="75">
        <v>1.3408226476307892</v>
      </c>
      <c r="S68" s="75">
        <v>1.5082794394518748</v>
      </c>
      <c r="T68" s="75">
        <v>1.5876625678440783</v>
      </c>
      <c r="U68" s="75">
        <v>1.6670456962362818</v>
      </c>
      <c r="V68" s="75">
        <v>1.7464288246284863</v>
      </c>
      <c r="W68" s="75">
        <v>1.2636974718950436</v>
      </c>
      <c r="X68" s="75">
        <v>1.0227635398389223</v>
      </c>
      <c r="Y68" s="75">
        <v>0.78185814102350992</v>
      </c>
      <c r="Z68" s="75">
        <v>0.54098133251528857</v>
      </c>
      <c r="AA68" s="75">
        <v>4.4168917061320201E-3</v>
      </c>
      <c r="AB68" s="75">
        <v>-0.23344808365125491</v>
      </c>
      <c r="AC68" s="75">
        <v>-0.4711977806009946</v>
      </c>
      <c r="AD68" s="75">
        <v>-0.7088317380294562</v>
      </c>
      <c r="AE68" s="75">
        <v>-1.3037910671091213</v>
      </c>
      <c r="AF68" s="75">
        <v>-1.5384637154743563</v>
      </c>
      <c r="AG68" s="75">
        <v>-1.7728722874303067</v>
      </c>
      <c r="AH68" s="75">
        <v>-2.0070151985185118</v>
      </c>
      <c r="AI68" s="75">
        <v>-2.6693647304222665</v>
      </c>
      <c r="AJ68" s="75">
        <v>-2.904916662517337</v>
      </c>
      <c r="AK68" s="75">
        <v>-3.1400566048412664</v>
      </c>
      <c r="AL68" s="75">
        <v>-3.3747815086697486</v>
      </c>
      <c r="AM68" s="75">
        <v>-4.1148060579152244</v>
      </c>
      <c r="AN68" s="75">
        <v>-4.3563291015824328</v>
      </c>
      <c r="AO68" s="75">
        <v>-4.6207941788896765</v>
      </c>
      <c r="AP68" s="75">
        <v>-4.8850559379224228</v>
      </c>
    </row>
    <row r="69" spans="3:42">
      <c r="C69" s="75">
        <v>0</v>
      </c>
      <c r="D69" s="75">
        <v>0</v>
      </c>
      <c r="E69" s="75">
        <v>0</v>
      </c>
      <c r="F69" s="75">
        <v>0</v>
      </c>
      <c r="G69" s="75">
        <v>0</v>
      </c>
      <c r="H69" s="75">
        <v>0</v>
      </c>
      <c r="I69" s="75">
        <v>0</v>
      </c>
      <c r="J69" s="75">
        <v>0</v>
      </c>
      <c r="K69" s="75">
        <v>0</v>
      </c>
      <c r="L69" s="75">
        <v>0</v>
      </c>
      <c r="M69" s="75">
        <v>0</v>
      </c>
      <c r="N69" s="75">
        <v>0</v>
      </c>
      <c r="O69" s="75">
        <v>0.82803886898145018</v>
      </c>
      <c r="P69" s="75">
        <v>0.89173416659540772</v>
      </c>
      <c r="Q69" s="75">
        <v>0.95542946420936525</v>
      </c>
      <c r="R69" s="75">
        <v>1.0191247618233232</v>
      </c>
      <c r="S69" s="75">
        <v>1.1539464903917649</v>
      </c>
      <c r="T69" s="75">
        <v>1.2218256957089277</v>
      </c>
      <c r="U69" s="75">
        <v>1.2897049010260915</v>
      </c>
      <c r="V69" s="75">
        <v>1.3575841063432534</v>
      </c>
      <c r="W69" s="75">
        <v>0.96249555548886967</v>
      </c>
      <c r="X69" s="75">
        <v>0.75536790555247979</v>
      </c>
      <c r="Y69" s="75">
        <v>0.548262435892517</v>
      </c>
      <c r="Z69" s="75">
        <v>0.34117919086953297</v>
      </c>
      <c r="AA69" s="75">
        <v>-0.10021998452263414</v>
      </c>
      <c r="AB69" s="75">
        <v>-0.30585469421547273</v>
      </c>
      <c r="AC69" s="75">
        <v>-0.51139979239261724</v>
      </c>
      <c r="AD69" s="75">
        <v>-0.71685492060800549</v>
      </c>
      <c r="AE69" s="75">
        <v>-1.2084723770048722</v>
      </c>
      <c r="AF69" s="75">
        <v>-1.4125584166329093</v>
      </c>
      <c r="AG69" s="75">
        <v>-1.6164391768180888</v>
      </c>
      <c r="AH69" s="75">
        <v>-1.8201134258837541</v>
      </c>
      <c r="AI69" s="75">
        <v>-2.3693267067653876</v>
      </c>
      <c r="AJ69" s="75">
        <v>-2.5750711171137715</v>
      </c>
      <c r="AK69" s="75">
        <v>-2.780495267765688</v>
      </c>
      <c r="AL69" s="75">
        <v>-2.9855967887993833</v>
      </c>
      <c r="AM69" s="75">
        <v>-3.6008107122007473</v>
      </c>
      <c r="AN69" s="75">
        <v>-3.8122154875499739</v>
      </c>
      <c r="AO69" s="75">
        <v>-4.0414542220034484</v>
      </c>
      <c r="AP69" s="75">
        <v>-4.2705349072687229</v>
      </c>
    </row>
    <row r="70" spans="3:42"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75">
        <v>0</v>
      </c>
      <c r="R70" s="75">
        <v>0</v>
      </c>
      <c r="S70" s="75">
        <v>0</v>
      </c>
      <c r="T70" s="75">
        <v>0</v>
      </c>
      <c r="U70" s="75">
        <v>0</v>
      </c>
      <c r="V70" s="75">
        <v>0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75">
        <v>0</v>
      </c>
      <c r="AH70" s="75">
        <v>0</v>
      </c>
      <c r="AI70" s="75">
        <v>0</v>
      </c>
      <c r="AJ70" s="75">
        <v>0</v>
      </c>
      <c r="AK70" s="75">
        <v>0</v>
      </c>
      <c r="AL70" s="75">
        <v>0</v>
      </c>
      <c r="AM70" s="75">
        <v>0</v>
      </c>
      <c r="AN70" s="75">
        <v>0</v>
      </c>
      <c r="AO70" s="75">
        <v>0</v>
      </c>
      <c r="AP70" s="75">
        <v>0</v>
      </c>
    </row>
  </sheetData>
  <mergeCells count="73">
    <mergeCell ref="AQ51:AT51"/>
    <mergeCell ref="K51:N51"/>
    <mergeCell ref="O51:R51"/>
    <mergeCell ref="S51:V51"/>
    <mergeCell ref="W51:Z51"/>
    <mergeCell ref="AA51:AD51"/>
    <mergeCell ref="AE51:AH51"/>
    <mergeCell ref="G51:J51"/>
    <mergeCell ref="AQ22:AR22"/>
    <mergeCell ref="A24:T24"/>
    <mergeCell ref="A25:B26"/>
    <mergeCell ref="C25:D25"/>
    <mergeCell ref="E25:H25"/>
    <mergeCell ref="I25:L25"/>
    <mergeCell ref="M25:P25"/>
    <mergeCell ref="Q25:T25"/>
    <mergeCell ref="A27:A31"/>
    <mergeCell ref="A32:A35"/>
    <mergeCell ref="A36:A39"/>
    <mergeCell ref="A40:A43"/>
    <mergeCell ref="C51:F51"/>
    <mergeCell ref="AI51:AL51"/>
    <mergeCell ref="AM51:AP51"/>
    <mergeCell ref="A13:A16"/>
    <mergeCell ref="AW13:AW16"/>
    <mergeCell ref="A17:A20"/>
    <mergeCell ref="AW17:AW20"/>
    <mergeCell ref="X22:Y22"/>
    <mergeCell ref="AA22:AB22"/>
    <mergeCell ref="AE22:AF22"/>
    <mergeCell ref="AH22:AI22"/>
    <mergeCell ref="AK22:AL22"/>
    <mergeCell ref="AN22:AO22"/>
    <mergeCell ref="EA2:ED2"/>
    <mergeCell ref="EE2:EH2"/>
    <mergeCell ref="A4:A8"/>
    <mergeCell ref="AW4:AW8"/>
    <mergeCell ref="A9:A12"/>
    <mergeCell ref="AW9:AW12"/>
    <mergeCell ref="DC2:DF2"/>
    <mergeCell ref="DG2:DJ2"/>
    <mergeCell ref="DK2:DN2"/>
    <mergeCell ref="DO2:DR2"/>
    <mergeCell ref="DS2:DV2"/>
    <mergeCell ref="DW2:DZ2"/>
    <mergeCell ref="CA2:CD2"/>
    <mergeCell ref="CE2:CH2"/>
    <mergeCell ref="CI2:CL2"/>
    <mergeCell ref="CM2:CP2"/>
    <mergeCell ref="CU2:CX2"/>
    <mergeCell ref="CY2:DB2"/>
    <mergeCell ref="BC2:BF2"/>
    <mergeCell ref="BG2:BJ2"/>
    <mergeCell ref="BK2:BN2"/>
    <mergeCell ref="BO2:BR2"/>
    <mergeCell ref="BS2:BV2"/>
    <mergeCell ref="BW2:BZ2"/>
    <mergeCell ref="AY2:BB2"/>
    <mergeCell ref="C1:AT1"/>
    <mergeCell ref="AY1:CP1"/>
    <mergeCell ref="A2:B3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  <mergeCell ref="AW2:AX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14C9-F75C-4FD0-804D-9F49FD7A29F6}">
  <dimension ref="A1:BB20"/>
  <sheetViews>
    <sheetView zoomScale="79" zoomScaleNormal="70" workbookViewId="0">
      <selection activeCell="W3" sqref="W3"/>
    </sheetView>
  </sheetViews>
  <sheetFormatPr defaultRowHeight="14.45"/>
  <cols>
    <col min="2" max="2" width="12.5703125" customWidth="1"/>
    <col min="4" max="22" width="7" bestFit="1" customWidth="1"/>
  </cols>
  <sheetData>
    <row r="1" spans="1:54">
      <c r="C1" s="115">
        <v>2023</v>
      </c>
      <c r="D1" s="115"/>
      <c r="E1" s="115"/>
      <c r="F1" s="115"/>
      <c r="G1" s="112">
        <f>C1+1</f>
        <v>2024</v>
      </c>
      <c r="H1" s="112"/>
      <c r="I1" s="112"/>
      <c r="J1" s="112"/>
      <c r="K1" s="112">
        <f t="shared" ref="K1" si="0">G1+1</f>
        <v>2025</v>
      </c>
      <c r="L1" s="112"/>
      <c r="M1" s="112"/>
      <c r="N1" s="112"/>
      <c r="O1" s="112">
        <f t="shared" ref="O1" si="1">K1+1</f>
        <v>2026</v>
      </c>
      <c r="P1" s="112"/>
      <c r="Q1" s="112"/>
      <c r="R1" s="112"/>
      <c r="S1" s="112">
        <f t="shared" ref="S1" si="2">O1+1</f>
        <v>2027</v>
      </c>
      <c r="T1" s="112"/>
      <c r="U1" s="112"/>
      <c r="V1" s="112"/>
      <c r="W1" s="112">
        <f t="shared" ref="W1" si="3">S1+1</f>
        <v>2028</v>
      </c>
      <c r="X1" s="112"/>
      <c r="Y1" s="112"/>
      <c r="Z1" s="112"/>
      <c r="AA1" s="112">
        <f t="shared" ref="AA1" si="4">W1+1</f>
        <v>2029</v>
      </c>
      <c r="AB1" s="112"/>
      <c r="AC1" s="112"/>
      <c r="AD1" s="112"/>
      <c r="AE1" s="112">
        <f t="shared" ref="AE1" si="5">AA1+1</f>
        <v>2030</v>
      </c>
      <c r="AF1" s="112"/>
      <c r="AG1" s="112"/>
      <c r="AH1" s="112"/>
      <c r="AI1" s="112">
        <f t="shared" ref="AI1" si="6">AE1+1</f>
        <v>2031</v>
      </c>
      <c r="AJ1" s="112"/>
      <c r="AK1" s="112"/>
      <c r="AL1" s="112"/>
      <c r="AM1" s="112">
        <f t="shared" ref="AM1" si="7">AI1+1</f>
        <v>2032</v>
      </c>
      <c r="AN1" s="112"/>
      <c r="AO1" s="112"/>
      <c r="AP1" s="112"/>
      <c r="AQ1" s="112"/>
      <c r="AR1" s="112"/>
      <c r="AS1" s="112"/>
      <c r="AT1" s="112"/>
      <c r="AU1" s="112">
        <f t="shared" ref="AU1" si="8">AQ1+1</f>
        <v>1</v>
      </c>
      <c r="AV1" s="112"/>
      <c r="AW1" s="112"/>
      <c r="AX1" s="112"/>
      <c r="AY1" s="112">
        <f t="shared" ref="AY1" si="9">AU1+1</f>
        <v>2</v>
      </c>
      <c r="AZ1" s="112"/>
      <c r="BA1" s="112"/>
      <c r="BB1" s="112"/>
    </row>
    <row r="2" spans="1:54">
      <c r="C2" s="19">
        <v>1</v>
      </c>
      <c r="D2" s="19">
        <v>2</v>
      </c>
      <c r="E2" s="19">
        <v>3</v>
      </c>
      <c r="F2" s="19">
        <v>4</v>
      </c>
      <c r="G2" s="19">
        <v>1</v>
      </c>
      <c r="H2" s="19">
        <v>2</v>
      </c>
      <c r="I2" s="19">
        <v>3</v>
      </c>
      <c r="J2" s="19">
        <v>4</v>
      </c>
      <c r="K2" s="19">
        <v>1</v>
      </c>
      <c r="L2" s="19">
        <v>2</v>
      </c>
      <c r="M2" s="19">
        <v>3</v>
      </c>
      <c r="N2" s="19">
        <v>4</v>
      </c>
      <c r="O2" s="19">
        <v>1</v>
      </c>
      <c r="P2" s="19">
        <v>2</v>
      </c>
      <c r="Q2" s="19">
        <v>3</v>
      </c>
      <c r="R2" s="19">
        <v>4</v>
      </c>
      <c r="S2" s="19">
        <v>1</v>
      </c>
      <c r="T2" s="19">
        <v>2</v>
      </c>
      <c r="U2" s="19">
        <v>3</v>
      </c>
      <c r="V2" s="19">
        <v>4</v>
      </c>
      <c r="W2" s="19">
        <v>1</v>
      </c>
      <c r="X2" s="19">
        <v>2</v>
      </c>
      <c r="Y2" s="19">
        <v>3</v>
      </c>
      <c r="Z2" s="19">
        <v>4</v>
      </c>
      <c r="AA2" s="19">
        <v>1</v>
      </c>
      <c r="AB2" s="19">
        <v>2</v>
      </c>
      <c r="AC2" s="19">
        <v>3</v>
      </c>
      <c r="AD2" s="19">
        <v>4</v>
      </c>
      <c r="AE2" s="19">
        <v>1</v>
      </c>
      <c r="AF2" s="19">
        <v>2</v>
      </c>
      <c r="AG2" s="19">
        <v>3</v>
      </c>
      <c r="AH2" s="19">
        <v>4</v>
      </c>
      <c r="AI2" s="19">
        <v>1</v>
      </c>
      <c r="AJ2" s="19">
        <v>2</v>
      </c>
      <c r="AK2" s="19">
        <v>3</v>
      </c>
      <c r="AL2" s="19">
        <v>4</v>
      </c>
      <c r="AM2" s="19">
        <v>1</v>
      </c>
      <c r="AN2" s="19">
        <v>2</v>
      </c>
      <c r="AO2" s="19">
        <v>3</v>
      </c>
      <c r="AP2" s="19">
        <v>4</v>
      </c>
      <c r="AQ2" s="85"/>
      <c r="AR2" s="85"/>
      <c r="AY2" s="19">
        <v>1</v>
      </c>
      <c r="AZ2" s="19">
        <v>2</v>
      </c>
      <c r="BA2" s="19">
        <v>3</v>
      </c>
      <c r="BB2" s="19">
        <v>4</v>
      </c>
    </row>
    <row r="3" spans="1:54">
      <c r="A3" s="103" t="s">
        <v>97</v>
      </c>
      <c r="C3" s="85">
        <f>'Aglis Market Share'!C21</f>
        <v>0.17555555555555558</v>
      </c>
      <c r="D3" s="85">
        <f>'Aglis Market Share'!D21</f>
        <v>0.17864955106621772</v>
      </c>
      <c r="E3" s="85">
        <f>'Aglis Market Share'!E21</f>
        <v>0.18175465768799104</v>
      </c>
      <c r="F3" s="85">
        <f>'Aglis Market Share'!F21</f>
        <v>0.18481531986531985</v>
      </c>
      <c r="G3" s="85">
        <f>'Aglis Market Share'!G21</f>
        <v>0.19338569345770307</v>
      </c>
      <c r="H3" s="85">
        <f>'Aglis Market Share'!H21</f>
        <v>0.19751001764785284</v>
      </c>
      <c r="I3" s="85">
        <f>'Aglis Market Share'!I21</f>
        <v>0.20045773351300794</v>
      </c>
      <c r="J3" s="85">
        <f>'Aglis Market Share'!J21</f>
        <v>0.2040104202073271</v>
      </c>
      <c r="K3" s="85">
        <f>'Aglis Market Share'!K21</f>
        <v>0.22571055453631125</v>
      </c>
      <c r="L3" s="85">
        <f>'Aglis Market Share'!L21</f>
        <v>0.22872445785001821</v>
      </c>
      <c r="M3" s="85">
        <f>'Aglis Market Share'!M21</f>
        <v>0.23175168743345284</v>
      </c>
      <c r="N3" s="85">
        <f>'Aglis Market Share'!N21</f>
        <v>0.23457328305485214</v>
      </c>
      <c r="O3" s="85">
        <f>'Aglis Market Share'!O21</f>
        <v>0.22725420790646406</v>
      </c>
      <c r="P3" s="85">
        <f>'Aglis Market Share'!P21</f>
        <v>0.22780479373471177</v>
      </c>
      <c r="Q3" s="85">
        <f>'Aglis Market Share'!Q21</f>
        <v>0.23146396610693512</v>
      </c>
      <c r="R3" s="85">
        <f>'Aglis Market Share'!R21</f>
        <v>0.23518353603760198</v>
      </c>
      <c r="S3" s="85">
        <f>'Aglis Market Share'!S21</f>
        <v>0.24314838579969736</v>
      </c>
      <c r="T3" s="85">
        <f>'Aglis Market Share'!T21</f>
        <v>0.24672753570519906</v>
      </c>
      <c r="U3" s="85">
        <f>'Aglis Market Share'!U21</f>
        <v>0.25035679889240203</v>
      </c>
      <c r="V3" s="85">
        <f>'Aglis Market Share'!V21</f>
        <v>0.25398606207960506</v>
      </c>
      <c r="W3" s="85">
        <f>'Aglis Market Share'!W21</f>
        <v>0.25566890345223486</v>
      </c>
      <c r="X3" s="85">
        <f>'Aglis Market Share'!X21</f>
        <v>0.25655927723835459</v>
      </c>
      <c r="Y3" s="85">
        <f>'Aglis Market Share'!Y21</f>
        <v>0.25744965102447426</v>
      </c>
      <c r="Z3" s="85">
        <f>'Aglis Market Share'!Z21</f>
        <v>0.25834002481059404</v>
      </c>
      <c r="AA3" s="85">
        <f>'Aglis Market Share'!AA21</f>
        <v>0.2587483781867555</v>
      </c>
      <c r="AB3" s="85">
        <f>'Aglis Market Share'!AB21</f>
        <v>0.25875660663003847</v>
      </c>
      <c r="AC3" s="85">
        <f>'Aglis Market Share'!AC21</f>
        <v>0.25879424683802732</v>
      </c>
      <c r="AD3" s="85">
        <f>'Aglis Market Share'!AD21</f>
        <v>0.25977643161259628</v>
      </c>
      <c r="AE3" s="85">
        <f>'Aglis Market Share'!AE21</f>
        <v>0.26063008837379825</v>
      </c>
      <c r="AF3" s="85">
        <f>'Aglis Market Share'!AF21</f>
        <v>0.26077970625914265</v>
      </c>
      <c r="AG3" s="85">
        <f>'Aglis Market Share'!AG21</f>
        <v>0.26092932414448705</v>
      </c>
      <c r="AH3" s="85">
        <f>'Aglis Market Share'!AH21</f>
        <v>0.26107894202983145</v>
      </c>
      <c r="AI3" s="85">
        <f>'Aglis Market Share'!AI21</f>
        <v>0.26205886057852618</v>
      </c>
      <c r="AJ3" s="85">
        <f>'Aglis Market Share'!AJ21</f>
        <v>0.26261825648107157</v>
      </c>
      <c r="AK3" s="85">
        <f>'Aglis Market Share'!AK21</f>
        <v>0.26283447257025933</v>
      </c>
      <c r="AL3" s="85">
        <f>'Aglis Market Share'!AL21</f>
        <v>0.26297944064737105</v>
      </c>
      <c r="AM3" s="85">
        <f>'Aglis Market Share'!AM21</f>
        <v>0.26344690480835015</v>
      </c>
      <c r="AN3" s="85">
        <f>'Aglis Market Share'!AN21</f>
        <v>0.2646651461832436</v>
      </c>
      <c r="AO3" s="85">
        <f>'Aglis Market Share'!AO21</f>
        <v>0.26461808735971415</v>
      </c>
      <c r="AP3" s="85">
        <f>'Aglis Market Share'!AP21</f>
        <v>0.26459288906285983</v>
      </c>
      <c r="AQ3" s="85"/>
      <c r="AR3" s="85"/>
    </row>
    <row r="4" spans="1:54">
      <c r="A4" s="103" t="s">
        <v>39</v>
      </c>
      <c r="B4" s="85">
        <v>0.34011111111111098</v>
      </c>
      <c r="C4" s="85">
        <f t="shared" ref="C4:L8" si="10">(1-C$3)*$B4</f>
        <v>0.28040271604938261</v>
      </c>
      <c r="D4" s="85">
        <f t="shared" si="10"/>
        <v>0.27935041379847853</v>
      </c>
      <c r="E4" s="85">
        <f t="shared" si="10"/>
        <v>0.27829433253522873</v>
      </c>
      <c r="F4" s="85">
        <f t="shared" si="10"/>
        <v>0.27725336732136169</v>
      </c>
      <c r="G4" s="85">
        <f t="shared" si="10"/>
        <v>0.27433848803621891</v>
      </c>
      <c r="H4" s="85">
        <f t="shared" si="10"/>
        <v>0.27293575955332461</v>
      </c>
      <c r="I4" s="85">
        <f t="shared" si="10"/>
        <v>0.27193320863518683</v>
      </c>
      <c r="J4" s="85">
        <f t="shared" si="10"/>
        <v>0.27072490041615233</v>
      </c>
      <c r="K4" s="85">
        <f t="shared" si="10"/>
        <v>0.26334444361826115</v>
      </c>
      <c r="L4" s="85">
        <f t="shared" si="10"/>
        <v>0.26231938161345481</v>
      </c>
      <c r="M4" s="85">
        <f t="shared" ref="M4:V8" si="11">(1-M$3)*$B4</f>
        <v>0.26128978719624441</v>
      </c>
      <c r="N4" s="85">
        <f t="shared" si="11"/>
        <v>0.26033013117434406</v>
      </c>
      <c r="O4" s="85">
        <f t="shared" si="11"/>
        <v>0.26281942995536806</v>
      </c>
      <c r="P4" s="85">
        <f t="shared" si="11"/>
        <v>0.26263216959756069</v>
      </c>
      <c r="Q4" s="85">
        <f t="shared" si="11"/>
        <v>0.26138764441629675</v>
      </c>
      <c r="R4" s="85">
        <f t="shared" si="11"/>
        <v>0.26012257735432215</v>
      </c>
      <c r="S4" s="85">
        <f t="shared" si="11"/>
        <v>0.25741364345190282</v>
      </c>
      <c r="T4" s="85">
        <f t="shared" si="11"/>
        <v>0.25619633480070941</v>
      </c>
      <c r="U4" s="85">
        <f t="shared" si="11"/>
        <v>0.25496198206559517</v>
      </c>
      <c r="V4" s="85">
        <f t="shared" si="11"/>
        <v>0.25372762933048087</v>
      </c>
      <c r="W4" s="85">
        <f t="shared" ref="W4:AF8" si="12">(1-W$3)*$B4</f>
        <v>0.25315527628141204</v>
      </c>
      <c r="X4" s="85">
        <f t="shared" si="12"/>
        <v>0.25285245026371062</v>
      </c>
      <c r="Y4" s="85">
        <f t="shared" si="12"/>
        <v>0.25254962424600924</v>
      </c>
      <c r="Z4" s="85">
        <f t="shared" si="12"/>
        <v>0.25224679822830787</v>
      </c>
      <c r="AA4" s="85">
        <f t="shared" si="12"/>
        <v>0.25210791270781563</v>
      </c>
      <c r="AB4" s="85">
        <f t="shared" si="12"/>
        <v>0.25210511412282793</v>
      </c>
      <c r="AC4" s="85">
        <f t="shared" si="12"/>
        <v>0.25209231226986639</v>
      </c>
      <c r="AD4" s="85">
        <f t="shared" si="12"/>
        <v>0.25175826031487131</v>
      </c>
      <c r="AE4" s="85">
        <f t="shared" si="12"/>
        <v>0.25146792216531144</v>
      </c>
      <c r="AF4" s="85">
        <f t="shared" si="12"/>
        <v>0.25141703546008487</v>
      </c>
      <c r="AG4" s="85">
        <f t="shared" ref="AG4:AP8" si="13">(1-AG$3)*$B4</f>
        <v>0.25136614875485824</v>
      </c>
      <c r="AH4" s="85">
        <f t="shared" si="13"/>
        <v>0.25131526204963167</v>
      </c>
      <c r="AI4" s="85">
        <f t="shared" si="13"/>
        <v>0.25098198086323675</v>
      </c>
      <c r="AJ4" s="85">
        <f t="shared" si="13"/>
        <v>0.25079172410127104</v>
      </c>
      <c r="AK4" s="85">
        <f t="shared" si="13"/>
        <v>0.25071818660693723</v>
      </c>
      <c r="AL4" s="85">
        <f t="shared" si="13"/>
        <v>0.25066888135315513</v>
      </c>
      <c r="AM4" s="85">
        <f t="shared" si="13"/>
        <v>0.25050989159795994</v>
      </c>
      <c r="AN4" s="85">
        <f t="shared" si="13"/>
        <v>0.25009555417034335</v>
      </c>
      <c r="AO4" s="85">
        <f t="shared" si="13"/>
        <v>0.25011155939910157</v>
      </c>
      <c r="AP4" s="85">
        <f t="shared" si="13"/>
        <v>0.25012012961984281</v>
      </c>
      <c r="AQ4" s="85"/>
      <c r="AR4" s="85"/>
    </row>
    <row r="5" spans="1:54">
      <c r="A5" s="103" t="s">
        <v>98</v>
      </c>
      <c r="B5" s="85">
        <v>0.32211111111111107</v>
      </c>
      <c r="C5" s="85">
        <f t="shared" si="10"/>
        <v>0.2655627160493827</v>
      </c>
      <c r="D5" s="85">
        <f>(1-D$3)*$B5</f>
        <v>0.26456610571767053</v>
      </c>
      <c r="E5" s="85">
        <f t="shared" si="10"/>
        <v>0.26356591637361265</v>
      </c>
      <c r="F5" s="85">
        <f t="shared" si="10"/>
        <v>0.26258004307893751</v>
      </c>
      <c r="G5" s="85">
        <f t="shared" si="10"/>
        <v>0.25981943051845763</v>
      </c>
      <c r="H5" s="85">
        <f t="shared" si="10"/>
        <v>0.25849093987098604</v>
      </c>
      <c r="I5" s="85">
        <f t="shared" si="10"/>
        <v>0.25754144783842103</v>
      </c>
      <c r="J5" s="85">
        <f t="shared" si="10"/>
        <v>0.25639708797988431</v>
      </c>
      <c r="K5" s="85">
        <f t="shared" si="10"/>
        <v>0.24940723359991482</v>
      </c>
      <c r="L5" s="85">
        <f t="shared" si="10"/>
        <v>0.2484364218547552</v>
      </c>
      <c r="M5" s="85">
        <f t="shared" si="11"/>
        <v>0.24746131757004666</v>
      </c>
      <c r="N5" s="85">
        <f t="shared" si="11"/>
        <v>0.24655245026933148</v>
      </c>
      <c r="O5" s="85">
        <f t="shared" si="11"/>
        <v>0.24891000569768448</v>
      </c>
      <c r="P5" s="85">
        <f t="shared" si="11"/>
        <v>0.2487326558847856</v>
      </c>
      <c r="Q5" s="85">
        <f t="shared" si="11"/>
        <v>0.24755399580622164</v>
      </c>
      <c r="R5" s="85">
        <f t="shared" si="11"/>
        <v>0.24635588100299904</v>
      </c>
      <c r="S5" s="85">
        <f t="shared" si="11"/>
        <v>0.24379031439629748</v>
      </c>
      <c r="T5" s="85">
        <f t="shared" si="11"/>
        <v>0.24263743044340308</v>
      </c>
      <c r="U5" s="85">
        <f t="shared" si="11"/>
        <v>0.24146840444565848</v>
      </c>
      <c r="V5" s="85">
        <f t="shared" si="11"/>
        <v>0.24029937844791385</v>
      </c>
      <c r="W5" s="85">
        <f t="shared" si="12"/>
        <v>0.23975731654355234</v>
      </c>
      <c r="X5" s="85">
        <f t="shared" si="12"/>
        <v>0.23947051725400109</v>
      </c>
      <c r="Y5" s="85">
        <f t="shared" si="12"/>
        <v>0.23918371796444987</v>
      </c>
      <c r="Z5" s="85">
        <f t="shared" si="12"/>
        <v>0.23889691867489862</v>
      </c>
      <c r="AA5" s="85">
        <f t="shared" si="12"/>
        <v>0.23876538351517729</v>
      </c>
      <c r="AB5" s="85">
        <f t="shared" si="12"/>
        <v>0.23876273304216872</v>
      </c>
      <c r="AC5" s="85">
        <f t="shared" si="12"/>
        <v>0.23875060871295095</v>
      </c>
      <c r="AD5" s="85">
        <f t="shared" si="12"/>
        <v>0.2384342360838981</v>
      </c>
      <c r="AE5" s="85">
        <f t="shared" si="12"/>
        <v>0.23815926375603985</v>
      </c>
      <c r="AF5" s="85">
        <f t="shared" si="12"/>
        <v>0.23811107017274949</v>
      </c>
      <c r="AG5" s="85">
        <f t="shared" si="13"/>
        <v>0.2380628765894591</v>
      </c>
      <c r="AH5" s="85">
        <f t="shared" si="13"/>
        <v>0.23801468300616874</v>
      </c>
      <c r="AI5" s="85">
        <f t="shared" si="13"/>
        <v>0.23769904035365028</v>
      </c>
      <c r="AJ5" s="85">
        <f t="shared" si="13"/>
        <v>0.23751885271793038</v>
      </c>
      <c r="AK5" s="85">
        <f t="shared" si="13"/>
        <v>0.23744920711320197</v>
      </c>
      <c r="AL5" s="85">
        <f t="shared" si="13"/>
        <v>0.23740251128480788</v>
      </c>
      <c r="AM5" s="85">
        <f t="shared" si="13"/>
        <v>0.23725193588451032</v>
      </c>
      <c r="AN5" s="85">
        <f t="shared" si="13"/>
        <v>0.23685952680164182</v>
      </c>
      <c r="AO5" s="85">
        <f t="shared" si="13"/>
        <v>0.23687468497157649</v>
      </c>
      <c r="AP5" s="85">
        <f t="shared" si="13"/>
        <v>0.23688280162297434</v>
      </c>
      <c r="AQ5" s="85"/>
      <c r="AR5" s="85"/>
    </row>
    <row r="6" spans="1:54">
      <c r="A6" t="s">
        <v>99</v>
      </c>
      <c r="B6" s="85">
        <v>0.16711111111111113</v>
      </c>
      <c r="C6" s="85">
        <f t="shared" si="10"/>
        <v>0.13777382716049383</v>
      </c>
      <c r="D6" s="85">
        <f t="shared" si="10"/>
        <v>0.13725678613293429</v>
      </c>
      <c r="E6" s="85">
        <f t="shared" si="10"/>
        <v>0.1367378883152513</v>
      </c>
      <c r="F6" s="85">
        <f t="shared" si="10"/>
        <v>0.13622641765806212</v>
      </c>
      <c r="G6" s="85">
        <f t="shared" si="10"/>
        <v>0.13479421300440164</v>
      </c>
      <c r="H6" s="85">
        <f t="shared" si="10"/>
        <v>0.13410499260640327</v>
      </c>
      <c r="I6" s="85">
        <f t="shared" si="10"/>
        <v>0.13361239653293736</v>
      </c>
      <c r="J6" s="85">
        <f t="shared" si="10"/>
        <v>0.13301870311202002</v>
      </c>
      <c r="K6" s="85">
        <f t="shared" si="10"/>
        <v>0.12939236955304312</v>
      </c>
      <c r="L6" s="85">
        <f t="shared" si="10"/>
        <v>0.12888871282150807</v>
      </c>
      <c r="M6" s="85">
        <f t="shared" si="11"/>
        <v>0.1283828291222319</v>
      </c>
      <c r="N6" s="85">
        <f t="shared" si="11"/>
        <v>0.12791130914283361</v>
      </c>
      <c r="O6" s="85">
        <f t="shared" si="11"/>
        <v>0.12913440792318645</v>
      </c>
      <c r="P6" s="85">
        <f t="shared" si="11"/>
        <v>0.12904239891366595</v>
      </c>
      <c r="Q6" s="85">
        <f t="shared" si="11"/>
        <v>0.12843091055279662</v>
      </c>
      <c r="R6" s="85">
        <f t="shared" si="11"/>
        <v>0.12780932908882742</v>
      </c>
      <c r="S6" s="85">
        <f t="shared" si="11"/>
        <v>0.1264783141952506</v>
      </c>
      <c r="T6" s="85">
        <f t="shared" si="11"/>
        <v>0.12588019847770898</v>
      </c>
      <c r="U6" s="85">
        <f t="shared" si="11"/>
        <v>0.12527370827398082</v>
      </c>
      <c r="V6" s="85">
        <f t="shared" si="11"/>
        <v>0.12466721807025267</v>
      </c>
      <c r="W6" s="85">
        <f t="shared" si="12"/>
        <v>0.12438599657864877</v>
      </c>
      <c r="X6" s="85">
        <f t="shared" si="12"/>
        <v>0.12423720522594608</v>
      </c>
      <c r="Y6" s="85">
        <f t="shared" si="12"/>
        <v>0.12408841387324343</v>
      </c>
      <c r="Z6" s="85">
        <f t="shared" si="12"/>
        <v>0.12393962252054073</v>
      </c>
      <c r="AA6" s="85">
        <f t="shared" si="12"/>
        <v>0.12387138213412444</v>
      </c>
      <c r="AB6" s="85">
        <f t="shared" si="12"/>
        <v>0.12387000706982471</v>
      </c>
      <c r="AC6" s="85">
        <f t="shared" si="12"/>
        <v>0.12386371697284522</v>
      </c>
      <c r="AD6" s="85">
        <f t="shared" si="12"/>
        <v>0.12369958298385057</v>
      </c>
      <c r="AE6" s="85">
        <f t="shared" si="12"/>
        <v>0.12355692745397863</v>
      </c>
      <c r="AF6" s="85">
        <f t="shared" si="12"/>
        <v>0.12353192464291662</v>
      </c>
      <c r="AG6" s="85">
        <f t="shared" si="13"/>
        <v>0.12350692183185463</v>
      </c>
      <c r="AH6" s="85">
        <f t="shared" si="13"/>
        <v>0.12348191902079263</v>
      </c>
      <c r="AI6" s="85">
        <f t="shared" si="13"/>
        <v>0.12331816374332187</v>
      </c>
      <c r="AJ6" s="85">
        <f t="shared" si="13"/>
        <v>0.1232246824724965</v>
      </c>
      <c r="AK6" s="85">
        <f t="shared" si="13"/>
        <v>0.12318855036159222</v>
      </c>
      <c r="AL6" s="85">
        <f t="shared" si="13"/>
        <v>0.12316432458515043</v>
      </c>
      <c r="AM6" s="85">
        <f t="shared" si="13"/>
        <v>0.12308620612980462</v>
      </c>
      <c r="AN6" s="85">
        <f t="shared" si="13"/>
        <v>0.12288262446004462</v>
      </c>
      <c r="AO6" s="85">
        <f t="shared" si="13"/>
        <v>0.12289048851233222</v>
      </c>
      <c r="AP6" s="85">
        <f t="shared" si="13"/>
        <v>0.12289469942771766</v>
      </c>
      <c r="AQ6" s="85"/>
      <c r="AR6" s="85"/>
    </row>
    <row r="7" spans="1:54">
      <c r="A7" s="103" t="s">
        <v>100</v>
      </c>
      <c r="B7" s="85">
        <v>0.11911111111111111</v>
      </c>
      <c r="C7" s="85">
        <f t="shared" si="10"/>
        <v>9.8200493827160493E-2</v>
      </c>
      <c r="D7" s="85">
        <f t="shared" si="10"/>
        <v>9.7831964584112738E-2</v>
      </c>
      <c r="E7" s="85">
        <f t="shared" si="10"/>
        <v>9.7462111884274852E-2</v>
      </c>
      <c r="F7" s="85">
        <f t="shared" si="10"/>
        <v>9.7097553011597462E-2</v>
      </c>
      <c r="G7" s="85">
        <f t="shared" si="10"/>
        <v>9.6076726290371367E-2</v>
      </c>
      <c r="H7" s="85">
        <f t="shared" si="10"/>
        <v>9.55854734535002E-2</v>
      </c>
      <c r="I7" s="85">
        <f t="shared" si="10"/>
        <v>9.5234367741561715E-2</v>
      </c>
      <c r="J7" s="85">
        <f t="shared" si="10"/>
        <v>9.4811203281971707E-2</v>
      </c>
      <c r="K7" s="85">
        <f t="shared" si="10"/>
        <v>9.222647617078604E-2</v>
      </c>
      <c r="L7" s="85">
        <f t="shared" si="10"/>
        <v>9.1867486798308931E-2</v>
      </c>
      <c r="M7" s="85">
        <f t="shared" si="11"/>
        <v>9.150691011903761E-2</v>
      </c>
      <c r="N7" s="85">
        <f t="shared" si="11"/>
        <v>9.1170826729466498E-2</v>
      </c>
      <c r="O7" s="85">
        <f t="shared" si="11"/>
        <v>9.204260990269672E-2</v>
      </c>
      <c r="P7" s="85">
        <f t="shared" si="11"/>
        <v>9.1977029012932116E-2</v>
      </c>
      <c r="Q7" s="85">
        <f t="shared" si="11"/>
        <v>9.1541180925929513E-2</v>
      </c>
      <c r="R7" s="85">
        <f t="shared" si="11"/>
        <v>9.1098138818632296E-2</v>
      </c>
      <c r="S7" s="85">
        <f t="shared" si="11"/>
        <v>9.0149436713636052E-2</v>
      </c>
      <c r="T7" s="85">
        <f t="shared" si="11"/>
        <v>8.9723120191558522E-2</v>
      </c>
      <c r="U7" s="85">
        <f t="shared" si="11"/>
        <v>8.929083462081612E-2</v>
      </c>
      <c r="V7" s="85">
        <f t="shared" si="11"/>
        <v>8.8858549050073704E-2</v>
      </c>
      <c r="W7" s="85">
        <f t="shared" si="12"/>
        <v>8.8658103944356026E-2</v>
      </c>
      <c r="X7" s="85">
        <f t="shared" si="12"/>
        <v>8.8552050533387106E-2</v>
      </c>
      <c r="Y7" s="85">
        <f t="shared" si="12"/>
        <v>8.8445997122418171E-2</v>
      </c>
      <c r="Z7" s="85">
        <f t="shared" si="12"/>
        <v>8.8339943711449251E-2</v>
      </c>
      <c r="AA7" s="85">
        <f t="shared" si="12"/>
        <v>8.8291304287088687E-2</v>
      </c>
      <c r="AB7" s="85">
        <f t="shared" si="12"/>
        <v>8.8290324188066538E-2</v>
      </c>
      <c r="AC7" s="85">
        <f t="shared" si="12"/>
        <v>8.8285840821070521E-2</v>
      </c>
      <c r="AD7" s="85">
        <f t="shared" si="12"/>
        <v>8.8168851701255199E-2</v>
      </c>
      <c r="AE7" s="85">
        <f t="shared" si="12"/>
        <v>8.8067171695920932E-2</v>
      </c>
      <c r="AF7" s="85">
        <f t="shared" si="12"/>
        <v>8.8049350543355456E-2</v>
      </c>
      <c r="AG7" s="85">
        <f t="shared" si="13"/>
        <v>8.8031529390789995E-2</v>
      </c>
      <c r="AH7" s="85">
        <f t="shared" si="13"/>
        <v>8.8013708238224533E-2</v>
      </c>
      <c r="AI7" s="85">
        <f t="shared" si="13"/>
        <v>8.7896989051091112E-2</v>
      </c>
      <c r="AJ7" s="85">
        <f t="shared" si="13"/>
        <v>8.7830358783587928E-2</v>
      </c>
      <c r="AK7" s="85">
        <f t="shared" si="13"/>
        <v>8.7804605044964665E-2</v>
      </c>
      <c r="AL7" s="85">
        <f t="shared" si="13"/>
        <v>8.7787337736224241E-2</v>
      </c>
      <c r="AM7" s="85">
        <f t="shared" si="13"/>
        <v>8.7731657560605414E-2</v>
      </c>
      <c r="AN7" s="85">
        <f t="shared" si="13"/>
        <v>8.7586551476840316E-2</v>
      </c>
      <c r="AO7" s="85">
        <f t="shared" si="13"/>
        <v>8.7592156705598487E-2</v>
      </c>
      <c r="AP7" s="85">
        <f t="shared" si="13"/>
        <v>8.7595158102734924E-2</v>
      </c>
    </row>
    <row r="8" spans="1:54">
      <c r="A8" t="s">
        <v>101</v>
      </c>
      <c r="B8" s="85">
        <v>5.1555555555555597E-2</v>
      </c>
      <c r="C8" s="85">
        <f t="shared" si="10"/>
        <v>4.2504691358024725E-2</v>
      </c>
      <c r="D8" s="85">
        <f t="shared" si="10"/>
        <v>4.2345178700586142E-2</v>
      </c>
      <c r="E8" s="85">
        <f t="shared" si="10"/>
        <v>4.2185093203641388E-2</v>
      </c>
      <c r="F8" s="85">
        <f t="shared" si="10"/>
        <v>4.2027299064721323E-2</v>
      </c>
      <c r="G8" s="85">
        <f t="shared" si="10"/>
        <v>4.1585448692847339E-2</v>
      </c>
      <c r="H8" s="85">
        <f t="shared" si="10"/>
        <v>4.1372816867932954E-2</v>
      </c>
      <c r="I8" s="85">
        <f t="shared" si="10"/>
        <v>4.1220845738884952E-2</v>
      </c>
      <c r="J8" s="85">
        <f t="shared" si="10"/>
        <v>4.1037685002644507E-2</v>
      </c>
      <c r="K8" s="85">
        <f t="shared" si="10"/>
        <v>3.9918922521683539E-2</v>
      </c>
      <c r="L8" s="85">
        <f t="shared" si="10"/>
        <v>3.9763539061954643E-2</v>
      </c>
      <c r="M8" s="85">
        <f t="shared" si="11"/>
        <v>3.9607468558986461E-2</v>
      </c>
      <c r="N8" s="85">
        <f t="shared" si="11"/>
        <v>3.9461999629172101E-2</v>
      </c>
      <c r="O8" s="85">
        <f t="shared" si="11"/>
        <v>3.9839338614600102E-2</v>
      </c>
      <c r="P8" s="85">
        <f t="shared" si="11"/>
        <v>3.9810952856343784E-2</v>
      </c>
      <c r="Q8" s="85">
        <f t="shared" si="11"/>
        <v>3.9622302191820266E-2</v>
      </c>
      <c r="R8" s="85">
        <f t="shared" si="11"/>
        <v>3.9430537697616994E-2</v>
      </c>
      <c r="S8" s="85">
        <f t="shared" si="11"/>
        <v>3.9019905443215638E-2</v>
      </c>
      <c r="T8" s="85">
        <f t="shared" si="11"/>
        <v>3.8835380381420884E-2</v>
      </c>
      <c r="U8" s="85">
        <f t="shared" si="11"/>
        <v>3.8648271701547304E-2</v>
      </c>
      <c r="V8" s="85">
        <f t="shared" si="11"/>
        <v>3.8461163021673725E-2</v>
      </c>
      <c r="W8" s="85">
        <f t="shared" si="12"/>
        <v>3.8374403199795924E-2</v>
      </c>
      <c r="X8" s="85">
        <f t="shared" si="12"/>
        <v>3.8328499484600417E-2</v>
      </c>
      <c r="Y8" s="85">
        <f t="shared" si="12"/>
        <v>3.828259576940491E-2</v>
      </c>
      <c r="Z8" s="85">
        <f t="shared" si="12"/>
        <v>3.8236692054209404E-2</v>
      </c>
      <c r="AA8" s="85">
        <f t="shared" si="12"/>
        <v>3.8215639169038418E-2</v>
      </c>
      <c r="AB8" s="85">
        <f t="shared" si="12"/>
        <v>3.8215214947073604E-2</v>
      </c>
      <c r="AC8" s="85">
        <f t="shared" si="12"/>
        <v>3.8213274385239512E-2</v>
      </c>
      <c r="AD8" s="85">
        <f t="shared" si="12"/>
        <v>3.8162637303528396E-2</v>
      </c>
      <c r="AE8" s="85">
        <f t="shared" si="12"/>
        <v>3.811862655495088E-2</v>
      </c>
      <c r="AF8" s="85">
        <f t="shared" si="12"/>
        <v>3.8110912921750902E-2</v>
      </c>
      <c r="AG8" s="85">
        <f t="shared" si="13"/>
        <v>3.8103199288550924E-2</v>
      </c>
      <c r="AH8" s="85">
        <f t="shared" si="13"/>
        <v>3.8095485655350945E-2</v>
      </c>
      <c r="AI8" s="85">
        <f t="shared" si="13"/>
        <v>3.8044965410173798E-2</v>
      </c>
      <c r="AJ8" s="85">
        <f t="shared" si="13"/>
        <v>3.8016125443642565E-2</v>
      </c>
      <c r="AK8" s="85">
        <f t="shared" si="13"/>
        <v>3.8004978303044439E-2</v>
      </c>
      <c r="AL8" s="85">
        <f t="shared" si="13"/>
        <v>3.7997504393291123E-2</v>
      </c>
      <c r="AM8" s="85">
        <f t="shared" si="13"/>
        <v>3.7973404018769537E-2</v>
      </c>
      <c r="AN8" s="85">
        <f t="shared" si="13"/>
        <v>3.7910596907886132E-2</v>
      </c>
      <c r="AO8" s="85">
        <f t="shared" si="13"/>
        <v>3.7913023051676993E-2</v>
      </c>
      <c r="AP8" s="85">
        <f t="shared" si="13"/>
        <v>3.7914322163870369E-2</v>
      </c>
    </row>
    <row r="9" spans="1:54">
      <c r="A9" s="118" t="s">
        <v>102</v>
      </c>
      <c r="B9" s="118"/>
      <c r="C9" s="85">
        <f>SUM(C3:C8)</f>
        <v>0.99999999999999989</v>
      </c>
      <c r="D9" s="85">
        <f>SUM(D3:D8)</f>
        <v>0.99999999999999989</v>
      </c>
      <c r="E9" s="85">
        <f t="shared" ref="E9:AP9" si="14">SUM(E3:E8)</f>
        <v>1</v>
      </c>
      <c r="F9" s="85">
        <f t="shared" si="14"/>
        <v>1</v>
      </c>
      <c r="G9" s="85">
        <f t="shared" si="14"/>
        <v>0.99999999999999989</v>
      </c>
      <c r="H9" s="85">
        <f t="shared" si="14"/>
        <v>0.99999999999999989</v>
      </c>
      <c r="I9" s="85">
        <f t="shared" si="14"/>
        <v>0.99999999999999978</v>
      </c>
      <c r="J9" s="85">
        <f t="shared" si="14"/>
        <v>0.99999999999999989</v>
      </c>
      <c r="K9" s="85">
        <f t="shared" si="14"/>
        <v>0.99999999999999989</v>
      </c>
      <c r="L9" s="85">
        <f t="shared" si="14"/>
        <v>0.99999999999999978</v>
      </c>
      <c r="M9" s="85">
        <f t="shared" si="14"/>
        <v>0.99999999999999978</v>
      </c>
      <c r="N9" s="85">
        <f t="shared" si="14"/>
        <v>0.99999999999999989</v>
      </c>
      <c r="O9" s="85">
        <f t="shared" si="14"/>
        <v>0.99999999999999989</v>
      </c>
      <c r="P9" s="85">
        <f t="shared" si="14"/>
        <v>1</v>
      </c>
      <c r="Q9" s="85">
        <f t="shared" si="14"/>
        <v>1</v>
      </c>
      <c r="R9" s="85">
        <f t="shared" si="14"/>
        <v>0.99999999999999978</v>
      </c>
      <c r="S9" s="85">
        <f t="shared" si="14"/>
        <v>1</v>
      </c>
      <c r="T9" s="85">
        <f t="shared" si="14"/>
        <v>0.99999999999999989</v>
      </c>
      <c r="U9" s="85">
        <f t="shared" si="14"/>
        <v>0.99999999999999978</v>
      </c>
      <c r="V9" s="85">
        <f t="shared" si="14"/>
        <v>0.99999999999999989</v>
      </c>
      <c r="W9" s="85">
        <f t="shared" si="14"/>
        <v>1</v>
      </c>
      <c r="X9" s="85">
        <f t="shared" si="14"/>
        <v>0.99999999999999989</v>
      </c>
      <c r="Y9" s="85">
        <f t="shared" si="14"/>
        <v>1</v>
      </c>
      <c r="Z9" s="85">
        <f t="shared" si="14"/>
        <v>0.99999999999999989</v>
      </c>
      <c r="AA9" s="85">
        <f t="shared" si="14"/>
        <v>0.99999999999999978</v>
      </c>
      <c r="AB9" s="85">
        <f t="shared" si="14"/>
        <v>1</v>
      </c>
      <c r="AC9" s="85">
        <f t="shared" si="14"/>
        <v>0.99999999999999989</v>
      </c>
      <c r="AD9" s="85">
        <f t="shared" si="14"/>
        <v>0.99999999999999989</v>
      </c>
      <c r="AE9" s="85">
        <f t="shared" si="14"/>
        <v>1</v>
      </c>
      <c r="AF9" s="85">
        <f t="shared" si="14"/>
        <v>1</v>
      </c>
      <c r="AG9" s="85">
        <f t="shared" si="14"/>
        <v>0.99999999999999989</v>
      </c>
      <c r="AH9" s="85">
        <f t="shared" si="14"/>
        <v>0.99999999999999989</v>
      </c>
      <c r="AI9" s="85">
        <f t="shared" si="14"/>
        <v>0.99999999999999989</v>
      </c>
      <c r="AJ9" s="85">
        <f t="shared" si="14"/>
        <v>1</v>
      </c>
      <c r="AK9" s="85">
        <f t="shared" si="14"/>
        <v>0.99999999999999989</v>
      </c>
      <c r="AL9" s="85">
        <f t="shared" si="14"/>
        <v>0.99999999999999989</v>
      </c>
      <c r="AM9" s="85">
        <f t="shared" si="14"/>
        <v>1</v>
      </c>
      <c r="AN9" s="85">
        <f t="shared" si="14"/>
        <v>0.99999999999999989</v>
      </c>
      <c r="AO9" s="85">
        <f t="shared" si="14"/>
        <v>0.99999999999999989</v>
      </c>
      <c r="AP9" s="85">
        <f t="shared" si="14"/>
        <v>1</v>
      </c>
    </row>
    <row r="13" spans="1:54">
      <c r="C13" s="85"/>
    </row>
    <row r="16" spans="1:54">
      <c r="C16" s="85"/>
    </row>
    <row r="17" spans="3:3">
      <c r="C17" s="85"/>
    </row>
    <row r="18" spans="3:3">
      <c r="C18" s="85"/>
    </row>
    <row r="19" spans="3:3">
      <c r="C19" s="85"/>
    </row>
    <row r="20" spans="3:3">
      <c r="C20" s="85"/>
    </row>
  </sheetData>
  <mergeCells count="14">
    <mergeCell ref="A9:B9"/>
    <mergeCell ref="AY1:BB1"/>
    <mergeCell ref="AA1:AD1"/>
    <mergeCell ref="AE1:AH1"/>
    <mergeCell ref="AI1:AL1"/>
    <mergeCell ref="AM1:AP1"/>
    <mergeCell ref="AQ1:AT1"/>
    <mergeCell ref="AU1:AX1"/>
    <mergeCell ref="W1:Z1"/>
    <mergeCell ref="C1:F1"/>
    <mergeCell ref="G1:J1"/>
    <mergeCell ref="K1:N1"/>
    <mergeCell ref="O1:R1"/>
    <mergeCell ref="S1:V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32F59756D1304AAD35175B10D6C372" ma:contentTypeVersion="13" ma:contentTypeDescription="Create a new document." ma:contentTypeScope="" ma:versionID="ce3c1515825e86235019a21ba693f440">
  <xsd:schema xmlns:xsd="http://www.w3.org/2001/XMLSchema" xmlns:xs="http://www.w3.org/2001/XMLSchema" xmlns:p="http://schemas.microsoft.com/office/2006/metadata/properties" xmlns:ns3="2c403a1c-68ea-407d-be4d-ff017c4211d2" xmlns:ns4="1309dac9-2039-4428-8887-0a1e760d8231" targetNamespace="http://schemas.microsoft.com/office/2006/metadata/properties" ma:root="true" ma:fieldsID="77e3b9961007aa3a47a899eaf45590bd" ns3:_="" ns4:_="">
    <xsd:import namespace="2c403a1c-68ea-407d-be4d-ff017c4211d2"/>
    <xsd:import namespace="1309dac9-2039-4428-8887-0a1e760d823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403a1c-68ea-407d-be4d-ff017c4211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09dac9-2039-4428-8887-0a1e760d8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04F7D6-F84C-41E2-A006-B372B59A8527}"/>
</file>

<file path=customXml/itemProps2.xml><?xml version="1.0" encoding="utf-8"?>
<ds:datastoreItem xmlns:ds="http://schemas.openxmlformats.org/officeDocument/2006/customXml" ds:itemID="{E4A2A495-9C40-4320-8E75-EB57DF756E9D}"/>
</file>

<file path=customXml/itemProps3.xml><?xml version="1.0" encoding="utf-8"?>
<ds:datastoreItem xmlns:ds="http://schemas.openxmlformats.org/officeDocument/2006/customXml" ds:itemID="{BA89C49E-4BBC-408F-8B7A-CBFF525CA9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/>
  <cp:revision/>
  <dcterms:created xsi:type="dcterms:W3CDTF">2021-10-06T01:58:28Z</dcterms:created>
  <dcterms:modified xsi:type="dcterms:W3CDTF">2022-08-20T13:00:34Z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0x0101002F32F59756D1304AAD35175B10D6C372</vt:lpwstr>
  </property>
</Properties>
</file>